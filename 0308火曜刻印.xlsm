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wner\OneDrive\デスクトップ\"/>
    </mc:Choice>
  </mc:AlternateContent>
  <xr:revisionPtr revIDLastSave="0" documentId="13_ncr:1_{5CF97732-EC3B-47FA-8B69-7E2C4F900281}" xr6:coauthVersionLast="47" xr6:coauthVersionMax="47" xr10:uidLastSave="{00000000-0000-0000-0000-000000000000}"/>
  <bookViews>
    <workbookView xWindow="5745" yWindow="1335" windowWidth="21300" windowHeight="13575" xr2:uid="{E7D2DDD3-65C9-4307-B10B-42D7C8E6F342}"/>
  </bookViews>
  <sheets>
    <sheet name="Sheet1" sheetId="14" r:id="rId1"/>
    <sheet name="箔押し" sheetId="26" r:id="rId2"/>
    <sheet name="UV" sheetId="13" r:id="rId3"/>
    <sheet name="B 2客" sheetId="21" r:id="rId4"/>
    <sheet name="B 1客" sheetId="22" r:id="rId5"/>
    <sheet name="つるみ" sheetId="1" r:id="rId6"/>
    <sheet name="avedaﾐﾆ" sheetId="2" r:id="rId7"/>
    <sheet name="aveda大" sheetId="3" r:id="rId8"/>
    <sheet name="B通常 横彫" sheetId="16" r:id="rId9"/>
    <sheet name="Bフチ取り 逆彫り" sheetId="4" r:id="rId10"/>
    <sheet name="B通常 逆彫り" sheetId="5" r:id="rId11"/>
    <sheet name="その他" sheetId="6" r:id="rId12"/>
    <sheet name="第二" sheetId="7" r:id="rId13"/>
    <sheet name="緊急" sheetId="8" r:id="rId14"/>
    <sheet name="合計" sheetId="23" r:id="rId15"/>
    <sheet name="振り分け設定" sheetId="24" r:id="rId16"/>
    <sheet name="文字列リスト(削除禁止)" sheetId="25" r:id="rId17"/>
  </sheets>
  <definedNames>
    <definedName name="_xlnm._FilterDatabase" localSheetId="4" hidden="1">'B 1客'!$A$3:$G$3</definedName>
    <definedName name="_xlnm._FilterDatabase" localSheetId="3" hidden="1">'B 2客'!$A$3:$G$4</definedName>
    <definedName name="_xlnm._FilterDatabase" localSheetId="9" hidden="1">'Bフチ取り 逆彫り'!$A$3:$G$57</definedName>
    <definedName name="_xlnm._FilterDatabase" localSheetId="8" hidden="1">'B通常 横彫'!$A$3:$G$3</definedName>
    <definedName name="_xlnm._FilterDatabase" localSheetId="10" hidden="1">'B通常 逆彫り'!$A$3:$G$13</definedName>
    <definedName name="_xlnm._FilterDatabase" localSheetId="0" hidden="1">Sheet1!$A$1:$M$394</definedName>
    <definedName name="_xlnm._FilterDatabase" localSheetId="2" hidden="1">UV!$A$3:$H$43</definedName>
    <definedName name="_xlnm._FilterDatabase" localSheetId="11" hidden="1">その他!$A$3:$G$3</definedName>
    <definedName name="_xlnm._FilterDatabase" localSheetId="5" hidden="1">つるみ!$A$3:$G$37</definedName>
    <definedName name="_xlnm._FilterDatabase" localSheetId="1" hidden="1">箔押し!$A$3:$G$3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6" l="1"/>
  <c r="A1" i="13"/>
  <c r="A1" i="21"/>
  <c r="A1" i="22"/>
  <c r="D2" i="5"/>
  <c r="B2" i="5"/>
  <c r="D2" i="4"/>
  <c r="B2" i="4"/>
  <c r="D2" i="16"/>
  <c r="B2" i="16"/>
  <c r="A1" i="6"/>
  <c r="A1" i="1"/>
  <c r="A1" i="2"/>
  <c r="A1" i="3"/>
  <c r="W3" i="23" a="1"/>
  <c r="W3" i="23" s="1"/>
  <c r="W3" i="24" a="1"/>
  <c r="W3" i="24" s="1"/>
  <c r="W2" i="23" a="1"/>
  <c r="W2" i="23" s="1"/>
  <c r="W4" i="23" a="1"/>
  <c r="W4" i="23" s="1"/>
  <c r="W5" i="23" a="1"/>
  <c r="W5" i="23" s="1"/>
  <c r="W6" i="23" a="1"/>
  <c r="W6" i="23" s="1"/>
  <c r="W7" i="23" a="1"/>
  <c r="W7" i="23" s="1"/>
  <c r="W8" i="23" a="1"/>
  <c r="W8" i="23" s="1"/>
  <c r="W9" i="23" a="1"/>
  <c r="W9" i="23" s="1"/>
  <c r="W10" i="23" a="1"/>
  <c r="W10" i="23" s="1"/>
  <c r="W11" i="23" a="1"/>
  <c r="W11" i="23" s="1"/>
  <c r="W12" i="23" a="1"/>
  <c r="W12" i="23" s="1"/>
  <c r="W13" i="23" a="1"/>
  <c r="W13" i="23" s="1"/>
  <c r="W14" i="23" a="1"/>
  <c r="W14" i="23" s="1"/>
  <c r="W15" i="23" a="1"/>
  <c r="W15" i="23" s="1"/>
  <c r="W16" i="23" a="1"/>
  <c r="W16" i="23" s="1"/>
  <c r="W17" i="23" a="1"/>
  <c r="W17" i="23" s="1"/>
  <c r="W18" i="23" a="1"/>
  <c r="W18" i="23" s="1"/>
  <c r="W19" i="23" a="1"/>
  <c r="W19" i="23" s="1"/>
  <c r="W20" i="23" a="1"/>
  <c r="W20" i="23" s="1"/>
  <c r="W21" i="23" a="1"/>
  <c r="W21" i="23" s="1"/>
  <c r="W22" i="23" a="1"/>
  <c r="W22" i="23" s="1"/>
  <c r="W23" i="23" a="1"/>
  <c r="W23" i="23" s="1"/>
  <c r="W24" i="23" a="1"/>
  <c r="W24" i="23" s="1"/>
  <c r="W25" i="23" a="1"/>
  <c r="W25" i="23" s="1"/>
  <c r="W26" i="23" a="1"/>
  <c r="W26" i="23" s="1"/>
  <c r="W27" i="23" a="1"/>
  <c r="W27" i="23" s="1"/>
  <c r="W28" i="23" a="1"/>
  <c r="W28" i="23" s="1"/>
  <c r="W29" i="23" a="1"/>
  <c r="W29" i="23" s="1"/>
  <c r="W30" i="23" a="1"/>
  <c r="W30" i="23" s="1"/>
  <c r="W31" i="23" a="1"/>
  <c r="W31" i="23" s="1"/>
  <c r="W32" i="23" a="1"/>
  <c r="W32" i="23" s="1"/>
  <c r="W33" i="23" a="1"/>
  <c r="W33" i="23" s="1"/>
  <c r="W34" i="23" a="1"/>
  <c r="W34" i="23" s="1"/>
  <c r="W35" i="23" a="1"/>
  <c r="W35" i="23" s="1"/>
  <c r="W36" i="23" a="1"/>
  <c r="W36" i="23" s="1"/>
  <c r="W37" i="23" a="1"/>
  <c r="W37" i="23" s="1"/>
  <c r="W38" i="23" a="1"/>
  <c r="W38" i="23" s="1"/>
  <c r="W39" i="23" a="1"/>
  <c r="W39" i="23" s="1"/>
  <c r="W40" i="23" a="1"/>
  <c r="W40" i="23" s="1"/>
  <c r="W41" i="23" a="1"/>
  <c r="W41" i="23" s="1"/>
  <c r="W42" i="23" a="1"/>
  <c r="W42" i="23" s="1"/>
  <c r="W43" i="23" a="1"/>
  <c r="W43" i="23" s="1"/>
  <c r="W44" i="23" a="1"/>
  <c r="W44" i="23" s="1"/>
  <c r="W45" i="23" a="1"/>
  <c r="W45" i="23" s="1"/>
  <c r="W46" i="23" a="1"/>
  <c r="W46" i="23" s="1"/>
  <c r="W47" i="23" a="1"/>
  <c r="W47" i="23" s="1"/>
  <c r="W48" i="23" a="1"/>
  <c r="W48" i="23" s="1"/>
  <c r="W49" i="23" a="1"/>
  <c r="W49" i="23" s="1"/>
  <c r="W50" i="23" a="1"/>
  <c r="W50" i="23" s="1"/>
  <c r="W51" i="23" a="1"/>
  <c r="W51" i="23" s="1"/>
  <c r="W52" i="23" a="1"/>
  <c r="W52" i="23" s="1"/>
  <c r="W53" i="23" a="1"/>
  <c r="W53" i="23" s="1"/>
  <c r="W54" i="23" a="1"/>
  <c r="W54" i="23" s="1"/>
  <c r="W55" i="23" a="1"/>
  <c r="W55" i="23" s="1"/>
  <c r="W56" i="23" a="1"/>
  <c r="W56" i="23" s="1"/>
  <c r="W57" i="23" a="1"/>
  <c r="W57" i="23" s="1"/>
  <c r="W58" i="23" a="1"/>
  <c r="W58" i="23" s="1"/>
  <c r="W59" i="23" a="1"/>
  <c r="W59" i="23" s="1"/>
  <c r="W60" i="23" a="1"/>
  <c r="W60" i="23" s="1"/>
  <c r="W61" i="23" a="1"/>
  <c r="W61" i="23" s="1"/>
  <c r="W62" i="23" a="1"/>
  <c r="W62" i="23" s="1"/>
  <c r="W63" i="23" a="1"/>
  <c r="W63" i="23" s="1"/>
  <c r="W64" i="23" a="1"/>
  <c r="W64" i="23" s="1"/>
  <c r="W65" i="23" a="1"/>
  <c r="W65" i="23" s="1"/>
  <c r="W66" i="23" a="1"/>
  <c r="W66" i="23" s="1"/>
  <c r="W67" i="23" a="1"/>
  <c r="W67" i="23" s="1"/>
  <c r="W68" i="23" a="1"/>
  <c r="W68" i="23" s="1"/>
  <c r="W69" i="23" a="1"/>
  <c r="W69" i="23" s="1"/>
  <c r="W70" i="23" a="1"/>
  <c r="W70" i="23" s="1"/>
  <c r="W71" i="23" a="1"/>
  <c r="W71" i="23" s="1"/>
  <c r="W72" i="23" a="1"/>
  <c r="W72" i="23" s="1"/>
  <c r="W73" i="23" a="1"/>
  <c r="W73" i="23" s="1"/>
  <c r="W74" i="23" a="1"/>
  <c r="W74" i="23" s="1"/>
  <c r="W75" i="23" a="1"/>
  <c r="W75" i="23" s="1"/>
  <c r="W76" i="23" a="1"/>
  <c r="W76" i="23" s="1"/>
  <c r="W77" i="23" a="1"/>
  <c r="W77" i="23" s="1"/>
  <c r="W78" i="23" a="1"/>
  <c r="W78" i="23" s="1"/>
  <c r="W79" i="23" a="1"/>
  <c r="W79" i="23" s="1"/>
  <c r="W80" i="23" a="1"/>
  <c r="W80" i="23" s="1"/>
  <c r="W81" i="23" a="1"/>
  <c r="W81" i="23" s="1"/>
  <c r="W82" i="23" a="1"/>
  <c r="W82" i="23" s="1"/>
  <c r="W83" i="23" a="1"/>
  <c r="W83" i="23" s="1"/>
  <c r="W84" i="23" a="1"/>
  <c r="W84" i="23" s="1"/>
  <c r="W85" i="23" a="1"/>
  <c r="W85" i="23" s="1"/>
  <c r="W86" i="23" a="1"/>
  <c r="W86" i="23" s="1"/>
  <c r="W87" i="23" a="1"/>
  <c r="W87" i="23" s="1"/>
  <c r="W88" i="23" a="1"/>
  <c r="W88" i="23" s="1"/>
  <c r="W89" i="23" a="1"/>
  <c r="W89" i="23" s="1"/>
  <c r="W90" i="23" a="1"/>
  <c r="W90" i="23" s="1"/>
  <c r="W91" i="23" a="1"/>
  <c r="W91" i="23" s="1"/>
  <c r="W92" i="23" a="1"/>
  <c r="W92" i="23" s="1"/>
  <c r="W93" i="23" a="1"/>
  <c r="W93" i="23" s="1"/>
  <c r="W94" i="23" a="1"/>
  <c r="W94" i="23" s="1"/>
  <c r="W95" i="23" a="1"/>
  <c r="W95" i="23" s="1"/>
  <c r="W96" i="23" a="1"/>
  <c r="W96" i="23" s="1"/>
  <c r="W97" i="23" a="1"/>
  <c r="W97" i="23" s="1"/>
  <c r="W98" i="23" a="1"/>
  <c r="W98" i="23" s="1"/>
  <c r="W99" i="23" a="1"/>
  <c r="W99" i="23" s="1"/>
  <c r="W100" i="23" a="1"/>
  <c r="W100" i="23" s="1"/>
  <c r="W101" i="23" a="1"/>
  <c r="W101" i="23" s="1"/>
  <c r="W102" i="23" a="1"/>
  <c r="W102" i="23" s="1"/>
  <c r="W103" i="23" a="1"/>
  <c r="W103" i="23" s="1"/>
  <c r="W104" i="23" a="1"/>
  <c r="W104" i="23" s="1"/>
  <c r="W105" i="23" a="1"/>
  <c r="W105" i="23" s="1"/>
  <c r="W106" i="23" a="1"/>
  <c r="W106" i="23" s="1"/>
  <c r="W107" i="23" a="1"/>
  <c r="W107" i="23" s="1"/>
  <c r="W108" i="23" a="1"/>
  <c r="W108" i="23" s="1"/>
  <c r="W109" i="23" a="1"/>
  <c r="W109" i="23" s="1"/>
  <c r="W110" i="23" a="1"/>
  <c r="W110" i="23" s="1"/>
  <c r="W111" i="23" a="1"/>
  <c r="W111" i="23" s="1"/>
  <c r="W112" i="23" a="1"/>
  <c r="W112" i="23" s="1"/>
  <c r="W113" i="23" a="1"/>
  <c r="W113" i="23" s="1"/>
  <c r="W114" i="23" a="1"/>
  <c r="W114" i="23" s="1"/>
  <c r="W115" i="23" a="1"/>
  <c r="W115" i="23" s="1"/>
  <c r="W116" i="23" a="1"/>
  <c r="W116" i="23" s="1"/>
  <c r="W117" i="23" a="1"/>
  <c r="W117" i="23" s="1"/>
  <c r="W118" i="23" a="1"/>
  <c r="W118" i="23" s="1"/>
  <c r="W119" i="23" a="1"/>
  <c r="W119" i="23" s="1"/>
  <c r="W120" i="23" a="1"/>
  <c r="W120" i="23" s="1"/>
  <c r="W121" i="23" a="1"/>
  <c r="W121" i="23" s="1"/>
  <c r="W122" i="23" a="1"/>
  <c r="W122" i="23" s="1"/>
  <c r="W123" i="23" a="1"/>
  <c r="W123" i="23" s="1"/>
  <c r="W124" i="23" a="1"/>
  <c r="W124" i="23" s="1"/>
  <c r="W125" i="23" a="1"/>
  <c r="W125" i="23" s="1"/>
  <c r="W126" i="23" a="1"/>
  <c r="W126" i="23" s="1"/>
  <c r="W127" i="23" a="1"/>
  <c r="W127" i="23" s="1"/>
  <c r="W2" i="24" a="1"/>
  <c r="W2" i="24" s="1"/>
  <c r="W4" i="24" a="1"/>
  <c r="W4" i="24" s="1"/>
  <c r="W5" i="24" a="1"/>
  <c r="W5" i="24" s="1"/>
  <c r="W6" i="24" a="1"/>
  <c r="W6" i="24" s="1"/>
  <c r="W7" i="24" a="1"/>
  <c r="W7" i="24" s="1"/>
  <c r="W8" i="24" a="1"/>
  <c r="W8" i="24" s="1"/>
  <c r="W9" i="24" a="1"/>
  <c r="W9" i="24" s="1"/>
  <c r="W10" i="24" a="1"/>
  <c r="W10" i="24" s="1"/>
  <c r="W11" i="24" a="1"/>
  <c r="W11" i="24" s="1"/>
  <c r="W12" i="24" a="1"/>
  <c r="W12" i="24" s="1"/>
  <c r="W13" i="24" a="1"/>
  <c r="W13" i="24" s="1"/>
  <c r="W14" i="24" a="1"/>
  <c r="W14" i="24" s="1"/>
  <c r="W15" i="24" a="1"/>
  <c r="W15" i="24" s="1"/>
  <c r="W16" i="24" a="1"/>
  <c r="W16" i="24" s="1"/>
  <c r="W17" i="24" a="1"/>
  <c r="W17" i="24" s="1"/>
  <c r="W18" i="24" a="1"/>
  <c r="W18" i="24" s="1"/>
  <c r="W19" i="24" a="1"/>
  <c r="W19" i="24" s="1"/>
  <c r="W20" i="24" a="1"/>
  <c r="W20" i="24" s="1"/>
  <c r="W21" i="24" a="1"/>
  <c r="W21" i="24" s="1"/>
  <c r="W22" i="24" a="1"/>
  <c r="W22" i="24" s="1"/>
  <c r="W23" i="24" a="1"/>
  <c r="W23" i="24" s="1"/>
  <c r="W24" i="24" a="1"/>
  <c r="W24" i="24" s="1"/>
  <c r="W25" i="24" a="1"/>
  <c r="W25" i="24" s="1"/>
  <c r="W26" i="24" a="1"/>
  <c r="W26" i="24" s="1"/>
  <c r="W27" i="24" a="1"/>
  <c r="W27" i="24" s="1"/>
  <c r="W28" i="24" a="1"/>
  <c r="W28" i="24" s="1"/>
  <c r="W29" i="24" a="1"/>
  <c r="W29" i="24" s="1"/>
  <c r="W30" i="24" a="1"/>
  <c r="W30" i="24" s="1"/>
  <c r="W31" i="24" a="1"/>
  <c r="W31" i="24" s="1"/>
  <c r="W32" i="24" a="1"/>
  <c r="W32" i="24" s="1"/>
  <c r="W33" i="24" a="1"/>
  <c r="W33" i="24" s="1"/>
  <c r="W34" i="24" a="1"/>
  <c r="W34" i="24" s="1"/>
  <c r="W35" i="24" a="1"/>
  <c r="W35" i="24" s="1"/>
  <c r="W36" i="24" a="1"/>
  <c r="W36" i="24" s="1"/>
  <c r="W37" i="24" a="1"/>
  <c r="W37" i="24" s="1"/>
  <c r="W38" i="24" a="1"/>
  <c r="W38" i="24" s="1"/>
  <c r="W39" i="24" a="1"/>
  <c r="W39" i="24" s="1"/>
  <c r="W40" i="24" a="1"/>
  <c r="W40" i="24" s="1"/>
  <c r="W41" i="24" a="1"/>
  <c r="W41" i="24" s="1"/>
  <c r="W42" i="24" a="1"/>
  <c r="W42" i="24" s="1"/>
  <c r="W43" i="24" a="1"/>
  <c r="W43" i="24" s="1"/>
  <c r="W44" i="24" a="1"/>
  <c r="W44" i="24" s="1"/>
  <c r="W45" i="24" a="1"/>
  <c r="W45" i="24" s="1"/>
  <c r="W46" i="24" a="1"/>
  <c r="W46" i="24" s="1"/>
  <c r="W47" i="24" a="1"/>
  <c r="W47" i="24" s="1"/>
  <c r="W48" i="24" a="1"/>
  <c r="W48" i="24" s="1"/>
  <c r="W49" i="24" a="1"/>
  <c r="W49" i="24" s="1"/>
  <c r="W50" i="24" a="1"/>
  <c r="W50" i="24" s="1"/>
  <c r="W51" i="24" a="1"/>
  <c r="W51" i="24" s="1"/>
  <c r="W52" i="24" a="1"/>
  <c r="W52" i="24" s="1"/>
  <c r="W53" i="24" a="1"/>
  <c r="W53" i="24" s="1"/>
  <c r="W54" i="24" a="1"/>
  <c r="W54" i="24" s="1"/>
  <c r="W55" i="24" a="1"/>
  <c r="W55" i="24" s="1"/>
  <c r="W56" i="24" a="1"/>
  <c r="W56" i="24" s="1"/>
  <c r="W57" i="24" a="1"/>
  <c r="W57" i="24" s="1"/>
  <c r="W58" i="24" a="1"/>
  <c r="W58" i="24" s="1"/>
  <c r="W59" i="24" a="1"/>
  <c r="W59" i="24" s="1"/>
  <c r="W60" i="24" a="1"/>
  <c r="W60" i="24" s="1"/>
  <c r="W61" i="24" a="1"/>
  <c r="W61" i="24" s="1"/>
  <c r="W62" i="24" a="1"/>
  <c r="W62" i="24" s="1"/>
  <c r="W63" i="24" a="1"/>
  <c r="W63" i="24" s="1"/>
  <c r="W64" i="24" a="1"/>
  <c r="W64" i="24" s="1"/>
  <c r="W65" i="24" a="1"/>
  <c r="W65" i="24" s="1"/>
  <c r="W66" i="24" a="1"/>
  <c r="W66" i="24" s="1"/>
  <c r="W67" i="24" a="1"/>
  <c r="W67" i="24" s="1"/>
  <c r="W68" i="24" a="1"/>
  <c r="W68" i="24" s="1"/>
  <c r="W69" i="24" a="1"/>
  <c r="W69" i="24" s="1"/>
  <c r="W70" i="24" a="1"/>
  <c r="W70" i="24" s="1"/>
  <c r="W71" i="24" a="1"/>
  <c r="W71" i="24" s="1"/>
  <c r="W72" i="24" a="1"/>
  <c r="W72" i="24" s="1"/>
  <c r="W73" i="24" a="1"/>
  <c r="W73" i="24" s="1"/>
  <c r="W74" i="24" a="1"/>
  <c r="W74" i="24" s="1"/>
  <c r="W75" i="24" a="1"/>
  <c r="W75" i="24" s="1"/>
  <c r="W76" i="24" a="1"/>
  <c r="W76" i="24" s="1"/>
  <c r="W77" i="24" a="1"/>
  <c r="W77" i="24" s="1"/>
  <c r="W78" i="24" a="1"/>
  <c r="W78" i="24" s="1"/>
  <c r="W79" i="24" a="1"/>
  <c r="W79" i="24" s="1"/>
  <c r="W80" i="24" a="1"/>
  <c r="W80" i="24" s="1"/>
  <c r="W81" i="24" a="1"/>
  <c r="W81" i="24" s="1"/>
  <c r="W82" i="24" a="1"/>
  <c r="W82" i="24" s="1"/>
  <c r="W83" i="24" a="1"/>
  <c r="W83" i="24" s="1"/>
  <c r="W84" i="24" a="1"/>
  <c r="W84" i="24" s="1"/>
  <c r="W85" i="24" a="1"/>
  <c r="W85" i="24" s="1"/>
  <c r="W86" i="24" a="1"/>
  <c r="W86" i="24" s="1"/>
  <c r="W87" i="24" a="1"/>
  <c r="W87" i="24" s="1"/>
  <c r="W88" i="24" a="1"/>
  <c r="W88" i="24" s="1"/>
  <c r="W89" i="24" a="1"/>
  <c r="W89" i="24" s="1"/>
  <c r="W90" i="24" a="1"/>
  <c r="W90" i="24" s="1"/>
  <c r="W91" i="24" a="1"/>
  <c r="W91" i="24" s="1"/>
  <c r="W92" i="24" a="1"/>
  <c r="W92" i="24" s="1"/>
  <c r="W93" i="24" a="1"/>
  <c r="W93" i="24" s="1"/>
  <c r="W94" i="24" a="1"/>
  <c r="W94" i="24" s="1"/>
  <c r="W95" i="24" a="1"/>
  <c r="W95" i="24" s="1"/>
  <c r="W96" i="24" a="1"/>
  <c r="W96" i="24" s="1"/>
  <c r="W97" i="24" a="1"/>
  <c r="W97" i="24" s="1"/>
  <c r="W98" i="24" a="1"/>
  <c r="W98" i="24" s="1"/>
  <c r="W99" i="24" a="1"/>
  <c r="W99" i="24" s="1"/>
  <c r="W100" i="24" a="1"/>
  <c r="W100" i="24" s="1"/>
  <c r="W101" i="24" a="1"/>
  <c r="W101" i="24" s="1"/>
  <c r="W102" i="24" a="1"/>
  <c r="W102" i="24" s="1"/>
  <c r="W103" i="24" a="1"/>
  <c r="W103" i="24" s="1"/>
  <c r="W104" i="24" a="1"/>
  <c r="W104" i="24" s="1"/>
  <c r="W105" i="24" a="1"/>
  <c r="W105" i="24" s="1"/>
  <c r="W106" i="24" a="1"/>
  <c r="W106" i="24" s="1"/>
  <c r="W107" i="24" a="1"/>
  <c r="W107" i="24" s="1"/>
  <c r="W108" i="24" a="1"/>
  <c r="W108" i="24" s="1"/>
  <c r="W109" i="24" a="1"/>
  <c r="W109" i="24" s="1"/>
  <c r="W110" i="24" a="1"/>
  <c r="W110" i="24" s="1"/>
  <c r="W111" i="24" a="1"/>
  <c r="W111" i="24" s="1"/>
  <c r="W112" i="24" a="1"/>
  <c r="W112" i="24" s="1"/>
  <c r="W113" i="24" a="1"/>
  <c r="W113" i="24" s="1"/>
  <c r="W114" i="24" a="1"/>
  <c r="W114" i="24" s="1"/>
  <c r="W115" i="24" a="1"/>
  <c r="W115" i="24" s="1"/>
  <c r="W116" i="24" a="1"/>
  <c r="W116" i="24" s="1"/>
  <c r="W117" i="24" a="1"/>
  <c r="W117" i="24" s="1"/>
  <c r="W118" i="24" a="1"/>
  <c r="W118" i="24" s="1"/>
  <c r="W119" i="24" a="1"/>
  <c r="W119" i="24" s="1"/>
  <c r="W120" i="24" a="1"/>
  <c r="W120" i="24" s="1"/>
  <c r="W121" i="24" a="1"/>
  <c r="W121" i="24" s="1"/>
  <c r="W122" i="24" a="1"/>
  <c r="W122" i="24" s="1"/>
  <c r="W123" i="24" a="1"/>
  <c r="W123" i="24" s="1"/>
  <c r="W124" i="24" a="1"/>
  <c r="W124" i="24" s="1"/>
  <c r="W125" i="24" a="1"/>
  <c r="W125" i="24" s="1"/>
  <c r="W126" i="24" a="1"/>
  <c r="W126" i="24" s="1"/>
  <c r="W127" i="24" a="1"/>
  <c r="W127" i="24" s="1"/>
  <c r="W1" i="23" a="1"/>
  <c r="W1" i="23" s="1"/>
  <c r="W1" i="24" a="1"/>
  <c r="W1" i="24" s="1"/>
  <c r="A1" i="16" l="1"/>
  <c r="C6" i="23"/>
  <c r="C5" i="23" l="1"/>
  <c r="A1" i="4" l="1"/>
  <c r="A1" i="5"/>
  <c r="C4" i="23" l="1"/>
  <c r="C3" i="23" s="1"/>
  <c r="E3" i="2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<sst xmlns="http://schemas.openxmlformats.org/spreadsheetml/2006/main" count="11812" uniqueCount="2219">
  <si>
    <t>刻印番号</t>
  </si>
  <si>
    <t>商品コード</t>
  </si>
  <si>
    <t>帯番号</t>
  </si>
  <si>
    <t>商品名</t>
  </si>
  <si>
    <t>商品URL</t>
  </si>
  <si>
    <t>備考(元値)</t>
  </si>
  <si>
    <t>総計</t>
    <rPh sb="0" eb="2">
      <t>ソウケイ</t>
    </rPh>
    <phoneticPr fontId="1"/>
  </si>
  <si>
    <t>第一</t>
    <rPh sb="0" eb="2">
      <t>ダイイチ</t>
    </rPh>
    <phoneticPr fontId="1"/>
  </si>
  <si>
    <t>刻印回数</t>
    <rPh sb="0" eb="2">
      <t>コクイン</t>
    </rPh>
    <rPh sb="2" eb="4">
      <t>カイスウ</t>
    </rPh>
    <phoneticPr fontId="1"/>
  </si>
  <si>
    <t>第二</t>
    <rPh sb="0" eb="2">
      <t>ダイニ</t>
    </rPh>
    <phoneticPr fontId="1"/>
  </si>
  <si>
    <t>UV印刷</t>
    <rPh sb="2" eb="4">
      <t>インサツ</t>
    </rPh>
    <phoneticPr fontId="1"/>
  </si>
  <si>
    <t>1客</t>
    <rPh sb="1" eb="2">
      <t>キャク</t>
    </rPh>
    <phoneticPr fontId="1"/>
  </si>
  <si>
    <t>2客</t>
    <rPh sb="1" eb="2">
      <t>キャク</t>
    </rPh>
    <phoneticPr fontId="1"/>
  </si>
  <si>
    <t>刻印内容</t>
    <rPh sb="0" eb="4">
      <t>コクインナイヨウ</t>
    </rPh>
    <phoneticPr fontId="1"/>
  </si>
  <si>
    <t>sheet1の情報から絞り込みルールを設定する</t>
    <rPh sb="7" eb="9">
      <t>ジョウホウ</t>
    </rPh>
    <rPh sb="11" eb="12">
      <t>シボ</t>
    </rPh>
    <rPh sb="13" eb="14">
      <t>コ</t>
    </rPh>
    <rPh sb="19" eb="21">
      <t>セッテイ</t>
    </rPh>
    <phoneticPr fontId="1"/>
  </si>
  <si>
    <t>刻印内容</t>
  </si>
  <si>
    <t>baccarat-158</t>
  </si>
  <si>
    <t>cosme-189</t>
  </si>
  <si>
    <t>baccarat-140</t>
  </si>
  <si>
    <t>baccarat-153</t>
  </si>
  <si>
    <t>baccarat-156</t>
  </si>
  <si>
    <t>baccarat-007</t>
  </si>
  <si>
    <t>baccarat-004</t>
  </si>
  <si>
    <t>baccarat-154</t>
  </si>
  <si>
    <t>baccarat-139</t>
  </si>
  <si>
    <t>置換前</t>
    <rPh sb="0" eb="2">
      <t>チカン</t>
    </rPh>
    <rPh sb="2" eb="3">
      <t>マエ</t>
    </rPh>
    <phoneticPr fontId="1"/>
  </si>
  <si>
    <t>置換後(空白可)</t>
    <rPh sb="0" eb="2">
      <t>チカン</t>
    </rPh>
    <rPh sb="2" eb="3">
      <t>ゴ</t>
    </rPh>
    <rPh sb="4" eb="6">
      <t>クウハク</t>
    </rPh>
    <rPh sb="6" eb="7">
      <t>カ</t>
    </rPh>
    <phoneticPr fontId="1"/>
  </si>
  <si>
    <t>●【宅配便】</t>
  </si>
  <si>
    <t>　</t>
    <phoneticPr fontId="1"/>
  </si>
  <si>
    <t>●【希望する/1100円】</t>
  </si>
  <si>
    <t>●【ラッピングサービスを希望する】</t>
  </si>
  <si>
    <t>【コメント】</t>
  </si>
  <si>
    <t>[配送日時指定:]</t>
  </si>
  <si>
    <t>[■熨斗(のし)のご希望は、下記へ詳細をご記入下さい(対象商品のみ)。:]</t>
  </si>
  <si>
    <t>【水引の下(連名1)】：【連名2】：【連名3】：</t>
  </si>
  <si>
    <t>・シャネルのショッパー(紙袋)を無料で ：</t>
  </si>
  <si>
    <t>●【名入れする/1100円】</t>
  </si>
  <si>
    <t>●【ネコポス】</t>
  </si>
  <si>
    <t>●【レビューを書く】</t>
  </si>
  <si>
    <t>●【シャネル包装紙ラッピング済】</t>
  </si>
  <si>
    <t>●【巾着(大)付き】</t>
  </si>
  <si>
    <t>・名入れ 1点につき有料(1100円)で ：</t>
  </si>
  <si>
    <t>即日配送不可</t>
  </si>
  <si>
    <t>・2～3営業日の出荷になります/代引き不可</t>
  </si>
  <si>
    <t>●【巾着(小)付き】</t>
  </si>
  <si>
    <t>お届け方法： 宅配便</t>
  </si>
  <si>
    <t>お支払い方法: ゆうちょ銀行（振替/前払い）</t>
  </si>
  <si>
    <t>お支払い方法: クレジットカード決済</t>
  </si>
  <si>
    <t>熨斗の種類 ：熨斗なし</t>
  </si>
  <si>
    <t>・ラッピングを選択してください ：</t>
  </si>
  <si>
    <t>・バカラのショッパー(紙袋)を無料で ：</t>
  </si>
  <si>
    <t>●【クリスマスラッピング/798円】</t>
  </si>
  <si>
    <t xml:space="preserve">お届け時間: </t>
    <phoneticPr fontId="1"/>
  </si>
  <si>
    <t>価格のわかるものをいれないでください。</t>
  </si>
  <si>
    <t xml:space="preserve">ギフト包装種類: </t>
  </si>
  <si>
    <t>着荷種別: 通常</t>
  </si>
  <si>
    <t>・名入れ1点につき有料(1100円)で ：</t>
  </si>
  <si>
    <t>●【ブランドラッピングを希望する/798円】</t>
  </si>
  <si>
    <t>・イヴサンローランのショッパー(紙袋)を無料で ：</t>
  </si>
  <si>
    <t>・配送便 ：</t>
  </si>
  <si>
    <t>●【宅配便希望】 (送料770円～)</t>
  </si>
  <si>
    <t xml:space="preserve">・ネコポス配送の場合は即日配送適応外となります。 </t>
  </si>
  <si>
    <t>：了解しました</t>
  </si>
  <si>
    <t>【マケプレ確認】false【配送所要日数】Standard【ギフトメッセージ】</t>
  </si>
  <si>
    <t>【のし確認】</t>
  </si>
  <si>
    <t>wrapping-001</t>
  </si>
  <si>
    <t>【マケプレ確認】false【配送所要日数】Standard</t>
  </si>
  <si>
    <t>●【シャネル包装紙でラッピングする/630円】</t>
  </si>
  <si>
    <t>価格のわかるものをいれないでください。</t>
    <phoneticPr fontId="1"/>
  </si>
  <si>
    <t>●【GETする】</t>
  </si>
  <si>
    <t>●【希望する/1100円】</t>
    <phoneticPr fontId="1"/>
  </si>
  <si>
    <t>●【ラッピングサービスを希望する】</t>
    <phoneticPr fontId="1"/>
  </si>
  <si>
    <t>●【名入れする/1100円】</t>
    <phoneticPr fontId="1"/>
  </si>
  <si>
    <t>●【ブランドラッピングを希望する./798円】</t>
    <phoneticPr fontId="1"/>
  </si>
  <si>
    <t>【ギフトメッセージ】</t>
  </si>
  <si>
    <t>即日配送/代引き不可</t>
    <phoneticPr fontId="1"/>
  </si>
  <si>
    <t>・紙袋を無料で ：●【GETする】</t>
    <phoneticPr fontId="1"/>
  </si>
  <si>
    <t>・ラッピングを選択してください ：●【ラッピングする/550円】</t>
    <phoneticPr fontId="1"/>
  </si>
  <si>
    <t>・メッセージカードを ：●【メッセージカードを希望する】</t>
    <phoneticPr fontId="1"/>
  </si>
  <si>
    <t>・熨斗の種類 ：熨斗なし</t>
    <phoneticPr fontId="1"/>
  </si>
  <si>
    <t>【のし】：★【御礼】</t>
    <phoneticPr fontId="1"/>
  </si>
  <si>
    <t>・有料(1，100円)でボックスにプリント ：希望しない</t>
    <phoneticPr fontId="1"/>
  </si>
  <si>
    <t>・熨斗の種類 ：★【寿】</t>
    <phoneticPr fontId="1"/>
  </si>
  <si>
    <t>【のし】★【御祝】</t>
    <phoneticPr fontId="1"/>
  </si>
  <si>
    <t>（後払いは日にち指定不可）</t>
  </si>
  <si>
    <t>【あす楽希望】する</t>
  </si>
  <si>
    <t>●【ケアキットをGETする】</t>
  </si>
  <si>
    <t>●【オリジナル紙袋/希望する】</t>
  </si>
  <si>
    <t>刻印内容（みなし）</t>
    <phoneticPr fontId="1"/>
  </si>
  <si>
    <t>つるみ</t>
    <phoneticPr fontId="1"/>
  </si>
  <si>
    <t>avedaﾐﾆ</t>
    <phoneticPr fontId="1"/>
  </si>
  <si>
    <t>baccarat-002</t>
  </si>
  <si>
    <t>baccarat-009</t>
  </si>
  <si>
    <t>baccarat-137</t>
  </si>
  <si>
    <t>baccarat-161</t>
  </si>
  <si>
    <t>Bフチ取り 逆彫り</t>
    <phoneticPr fontId="1"/>
  </si>
  <si>
    <t>baccarat-013</t>
  </si>
  <si>
    <t>baccarat-067</t>
  </si>
  <si>
    <t>baccarat-068</t>
  </si>
  <si>
    <t>baccarat-155</t>
  </si>
  <si>
    <t>baccarat-157</t>
  </si>
  <si>
    <t>B通常 逆彫り</t>
  </si>
  <si>
    <t>cosme-031</t>
    <phoneticPr fontId="1"/>
  </si>
  <si>
    <t>cosme-034</t>
    <phoneticPr fontId="1"/>
  </si>
  <si>
    <t>cosme-134</t>
    <phoneticPr fontId="1"/>
  </si>
  <si>
    <t>cosme-211</t>
    <phoneticPr fontId="1"/>
  </si>
  <si>
    <t>cosme-023</t>
    <phoneticPr fontId="1"/>
  </si>
  <si>
    <t>chanel-034</t>
    <phoneticPr fontId="1"/>
  </si>
  <si>
    <t>UV</t>
    <phoneticPr fontId="1"/>
  </si>
  <si>
    <t>商品コード</t>
    <rPh sb="0" eb="2">
      <t>ショウヒン</t>
    </rPh>
    <phoneticPr fontId="1"/>
  </si>
  <si>
    <t>cosme-165</t>
    <phoneticPr fontId="1"/>
  </si>
  <si>
    <t>aveda大</t>
    <phoneticPr fontId="1"/>
  </si>
  <si>
    <t>振り分け先シート</t>
    <rPh sb="0" eb="1">
      <t>フ</t>
    </rPh>
    <rPh sb="2" eb="3">
      <t>ワ</t>
    </rPh>
    <rPh sb="4" eb="5">
      <t>サキ</t>
    </rPh>
    <phoneticPr fontId="1"/>
  </si>
  <si>
    <t>hana-</t>
  </si>
  <si>
    <t>tsurumi-</t>
  </si>
  <si>
    <t>monloulou-</t>
  </si>
  <si>
    <t>af-</t>
  </si>
  <si>
    <t>4c-</t>
  </si>
  <si>
    <t>[]</t>
    <phoneticPr fontId="1"/>
  </si>
  <si>
    <t>baccarat-138</t>
    <phoneticPr fontId="1"/>
  </si>
  <si>
    <t>baccarat-160</t>
    <phoneticPr fontId="1"/>
  </si>
  <si>
    <t>lamy-008</t>
    <phoneticPr fontId="1"/>
  </si>
  <si>
    <t>lamy-002</t>
    <phoneticPr fontId="1"/>
  </si>
  <si>
    <t>baccarat-162</t>
    <phoneticPr fontId="1"/>
  </si>
  <si>
    <t>B通常 横彫</t>
    <phoneticPr fontId="1"/>
  </si>
  <si>
    <t>baccarat-025</t>
    <phoneticPr fontId="1"/>
  </si>
  <si>
    <t>baccarat-141</t>
    <phoneticPr fontId="1"/>
  </si>
  <si>
    <t>刻印内容（みなし）</t>
  </si>
  <si>
    <t>月1</t>
  </si>
  <si>
    <t>★【baccarat-154/2客】</t>
  </si>
  <si>
    <t>『D-03』『★』【バカラ】2客 ティアラ タンブラー 2021∵ ◆・G箱・緩衝材・プチシート・割物注意</t>
  </si>
  <si>
    <t>https://item.rakuten.co.jp/cavatina/baccarat-154</t>
  </si>
  <si>
    <t>1点目⇒【2022.3.12 Thank you】2点目⇒【2022.3.12 Thank you】【名入れ】2022.3.12Thank you●【ボックス/パリの街並み】●【メッセージ不要】baccarat-154-naire-coaster-bp-0-paris:2022.3.12 つばき＆みれい いつもありがとう 小能見 椿</t>
  </si>
  <si>
    <t>月2</t>
  </si>
  <si>
    <t>★【cosme-189/ﾐﾆﾊﾟﾄﾞﾙﾌﾞﾗｼ】</t>
  </si>
  <si>
    <t>【アヴェダ】□ミニ□ パドル ブラシ∵ ■JAN:018084009413 ◆・封筒3・板大・ラピ袋M</t>
  </si>
  <si>
    <t>https://item.rakuten.co.jp/cavatina/cosme-189</t>
  </si>
  <si>
    <t>●【巾着(小)付き】●【内容:Shusaku】[■熨斗(のし)のご希望は、下記へ詳細をご記入下さい(対象商品のみ)。:]【水引の下(連名1)】：【連名2】：【連名3】：</t>
  </si>
  <si>
    <t>内容⇒【(商品2)cosme-189】</t>
  </si>
  <si>
    <t>友達あり 月3</t>
    <rPh sb="0" eb="2">
      <t>トモダチ</t>
    </rPh>
    <phoneticPr fontId="6"/>
  </si>
  <si>
    <t>cosme-094</t>
  </si>
  <si>
    <t>★【cosme-094/ﾁｬﾝｽ ｵｰﾀﾝﾄﾞｩﾙ ﾍｱﾐｽﾄ】</t>
  </si>
  <si>
    <t>『2F』『★』【A-4-4】【シャネル】ヘアミスト チャンス オー タンドゥル 35ml ■JAN: 3145891267808 ◆・宅配小・プチ小・板大・割物注意・ラピ袋M</t>
  </si>
  <si>
    <t>https://item.rakuten.co.jp/cavatina/cosme-094</t>
  </si>
  <si>
    <t>内容⇒【miku】cosme-094cos-333[■熨斗(のし)のご希望は、下記へ詳細をご記入下さい(対象商品のみ)。:]【水引の下(連名1)】：【連名2】：【連名3】：</t>
  </si>
  <si>
    <t>月4</t>
  </si>
  <si>
    <t>cosme-034</t>
  </si>
  <si>
    <t>★【cosme-034/ｼｬﾈﾙ ﾗｸﾚｰﾑﾏﾝ】</t>
  </si>
  <si>
    <t>『2F』『★』【A-3-2】【シャネル】ハンドクリーム ラ クレーム マン 50ml ■JAN: 3145891403503 ◆・宅配小・プチ小・ラピ袋S</t>
  </si>
  <si>
    <t>https://item.rakuten.co.jp/cavatina/cosme-034</t>
  </si>
  <si>
    <t>cosme-034●【シャネル包装紙ラッピング済】[■熨斗(のし)のご希望は、下記へ詳細をご記入下さい(対象商品のみ)。:]【水引の下(連名1)】：【連名2】：【連名3】：yuka</t>
  </si>
  <si>
    <t>月5</t>
  </si>
  <si>
    <t>bvlgari-173</t>
  </si>
  <si>
    <t>●【bvlgari-173】</t>
  </si>
  <si>
    <t>『2F』【I-3-6】【ブルガリ】長財布 オクトブラック 36968 BLACK ◆・H箱・緩衝材・プチ小・ラピ袋L</t>
  </si>
  <si>
    <t>https://item.rakuten.co.jp/cavatina/bvlgari-173</t>
  </si>
  <si>
    <t>bvlgari-173●【ケアキットをGETする】●【オリジナル紙袋/希望する】内容⇒【Syoryu.y】2022-03-09(水)[■熨斗(のし)のご希望は、下記へ詳細をご記入下さい(対象商品のみ)。:]【水引の下(連名1)】：【連名2】：【連名3】：ラッピング希望名入れ希望</t>
  </si>
  <si>
    <t>内容⇒【希望】</t>
  </si>
  <si>
    <t>内容⇒【(商品3)bvlgari-173】</t>
  </si>
  <si>
    <t>月6</t>
  </si>
  <si>
    <t>cosme-039-0-4</t>
  </si>
  <si>
    <t>★【cosme-039/4/ｳﾞｫﾘｭﾌﾟﾃｼｬｲﾝ】</t>
  </si>
  <si>
    <t>『2F』『★』【AK-1-1】【YSL】口紅 ルージュ ヴォリュプテ シャイン ■カラー：4/ルージュバレー ■JAN: 3365440197480 ◆・封筒3・板小・ラピ袋S</t>
  </si>
  <si>
    <t>https://item.rakuten.co.jp/cavatina/cosme-039</t>
  </si>
  <si>
    <t>cosme-039-0-4●【マーク：肉球】内容⇒【K.niina】【楽天発行クーポン利用額】1500[■熨斗(のし)のご希望は、下記へ詳細をご記入下さい(対象商品のみ)。:]【水引の下(連名1)】：【連名2】：【連名3】：</t>
  </si>
  <si>
    <t>マーク⇒【肉球】</t>
  </si>
  <si>
    <t>月7</t>
  </si>
  <si>
    <t>baccarat-162</t>
  </si>
  <si>
    <t>●【baccarat-162/1客】</t>
  </si>
  <si>
    <t>『D-03』『★』【バカラ】ティアラ タンブラー 1客 2814327</t>
  </si>
  <si>
    <t>https://item.rakuten.co.jp/cavatina/baccarat-162/</t>
  </si>
  <si>
    <t>●【ボックス/フレーム.】●【メッセージ/Thank　you】baccarat-162:2020   2022お届け方法： 宅配便お支払い方法: クレジットカード決済コメント: お届け時間: 09:00-12:00お届け日: 2022/03/06ギフト包装種類: 着荷種別: 通常</t>
  </si>
  <si>
    <t>内容⇒【(商品1)】</t>
  </si>
  <si>
    <t>月8</t>
  </si>
  <si>
    <t>cosme-165</t>
  </si>
  <si>
    <t>★【cosme-165/パドル ブラシ】</t>
  </si>
  <si>
    <t>【アヴェダ】パドル ブラシ∵ ■JAN:018084507216 ◆・宅配小・プチ小・板大・ラピ袋M</t>
  </si>
  <si>
    <t>https://item.rakuten.co.jp/cavatina/cosme-165</t>
  </si>
  <si>
    <t>●【巾着(大)付き】2022-03-10(木)[■熨斗(のし)のご希望は、下記へ詳細をご記入下さい(対象商品のみ)。:]【水引の下(連名1)】：【連名2】：【連名3】：Keiko</t>
  </si>
  <si>
    <t>内容⇒【(商品3)cosme-165】</t>
  </si>
  <si>
    <t>月9</t>
  </si>
  <si>
    <t>baccarat-149</t>
  </si>
  <si>
    <t>★【baccarat-149/2客】</t>
  </si>
  <si>
    <t>『D-03』『★』【バカラ】2客 ベガ シャンパンフルート 2811801∵ ◆・G箱・緩衝材・プチシート・割物注意</t>
  </si>
  <si>
    <t>https://item.rakuten.co.jp/cavatina/baccarat-149</t>
  </si>
  <si>
    <t>baccarat-149●【筆記体】●【希望する/2200円】●【1点目1行目:Bar EN】●【1点目2行目:3.12】●【2点目1行目:Bar EN】●【2点目2行目:LOTUS】【のし】★【御祝】[■熨斗(のし)のご希望は、下記へ詳細をご記入下さい(対象商品のみ)。:]【水引の下(連名1)】：【連名2】：【連名3】：</t>
  </si>
  <si>
    <t>2点目1行目⇒【Bar EN】</t>
  </si>
  <si>
    <t>2点目2行目⇒【LOTUS】</t>
  </si>
  <si>
    <t>内容⇒【(商品2)baccarat-149】</t>
  </si>
  <si>
    <t>月10</t>
  </si>
  <si>
    <t>baccarat-160</t>
  </si>
  <si>
    <t>●【baccarat-160/1客】</t>
  </si>
  <si>
    <t>『D-03』『★』【バカラ】クリスタ タンブラー 2022  1客</t>
  </si>
  <si>
    <t>https://item.rakuten.co.jp/cavatina/baccarat-160</t>
  </si>
  <si>
    <t>内容⇒【Takeshi Maeda】baccarat-160●【フチ取り/逆彫り】●【筆記体】[■熨斗(のし)のご希望は、下記へ詳細をご記入下さい(対象商品のみ)。:]【水引の下(連名1)】：【連名2】：【連名3】：</t>
  </si>
  <si>
    <t>月11</t>
  </si>
  <si>
    <t>●【巾着(大)付き】●【マーク：クローバー】【楽天発行クーポン利用額】100[■熨斗(のし)のご希望は、下記へ詳細をご記入下さい(対象商品のみ)。:]【水引の下(連名1)】：【連名2】：【連名3】：名入れ希望Kanon</t>
  </si>
  <si>
    <t>マーク⇒【クローバー】</t>
  </si>
  <si>
    <t>月12</t>
  </si>
  <si>
    <t>●【巾着(大)付き】●【マーク：ハート】[■熨斗(のし)のご希望は、下記へ詳細をご記入下さい(対象商品のみ)。:]【水引の下(連名1)】：【連名2】：【連名3】：yukino</t>
  </si>
  <si>
    <t>内容⇒【(商品1)cosme-189】</t>
  </si>
  <si>
    <t>マーク⇒【ハート】</t>
  </si>
  <si>
    <t>月13</t>
  </si>
  <si>
    <t>cosme-030-0-416</t>
  </si>
  <si>
    <t>★【cosme-030/416/ﾙｰｼﾞｭｺｺ】</t>
  </si>
  <si>
    <t>『2F』『★』【AK-3-3】【シャネル】口紅 ルージュ ココ ■カラー：416/ココ ■JAN:3145891724165 ◆・封筒3・板小・ラピ袋S</t>
  </si>
  <si>
    <t>https://item.rakuten.co.jp/cavatina/cosme-030</t>
  </si>
  <si>
    <t>cosme-030-0-416●【内容:Nozomi】●【マーク:バラ】2022-03-10(木)[■熨斗(のし)のご希望は、下記へ詳細をご記入下さい(対象商品のみ)。:]【水引の下(連名1)】：【連名2】：【連名3】：</t>
  </si>
  <si>
    <t>マーク⇒【バラ】</t>
  </si>
  <si>
    <t>月14-1</t>
  </si>
  <si>
    <t>●【巾着(大)付き】●【内容:Takako】●【巾着(大)付き】●【内容:Kayo】2022-03-10(木)[■熨斗(のし)のご希望は、下記へ詳細をご記入下さい(対象商品のみ)。:]【水引の下(連名1)】：【連名2】：【連名3】：</t>
  </si>
  <si>
    <t>月14-2</t>
  </si>
  <si>
    <t>月15</t>
  </si>
  <si>
    <t>●【巾着(大)付き】●【マーク：ハート】[■熨斗(のし)のご希望は、下記へ詳細をご記入下さい(対象商品のみ)。:]【水引の下(連名1)】：【連名2】：【連名3】：名入れ希望です。Satomi</t>
  </si>
  <si>
    <t>内容⇒【(商品1)cosme-165】</t>
  </si>
  <si>
    <t>月16</t>
  </si>
  <si>
    <t>parfum-561</t>
  </si>
  <si>
    <t>★【parfum-561/ﾁｬﾝｽ ｵｰﾀﾝﾄﾞｩﾙ ｳﾞｧﾎﾟﾘｻﾞﾀｰ50ml】</t>
  </si>
  <si>
    <t>『2F』『★』【A-3-4】【シャネル】香水 チャンス オー タンドゥル オードゥ トワレット ヴァポリザター 50ml ■JAN: 3145891263107 ◆・宅配小・プチ小・板大・割物注意・ラピ袋M</t>
  </si>
  <si>
    <t>https://item.rakuten.co.jp/cavatina/parfum-561</t>
  </si>
  <si>
    <t>内容⇒【M.yuuka】[■熨斗(のし)のご希望は、下記へ詳細をご記入下さい(対象商品のみ)。:]【水引の下(連名1)】：【連名2】：【連名3】：</t>
  </si>
  <si>
    <t>月17</t>
  </si>
  <si>
    <t>baccarat-018</t>
  </si>
  <si>
    <t>★【baccarat-018/2客】</t>
  </si>
  <si>
    <t>『D-01』『★』【バカラ】2客 ミルニュイ タンブラー 2105395∵ ◆・G箱・緩衝材・プチシート・割物注意</t>
  </si>
  <si>
    <t>https://item.rakuten.co.jp/cavatina/baccarat-018</t>
  </si>
  <si>
    <t>1点目⇒【祝　古希　洋子&amp;陽一】2点目⇒【祝　古希　洋子&amp;陽一】baccarat-018●【ボックス/フレーム】●【フチ取り/逆彫り】●【明朝体】2022-03-19(土)[■熨斗(のし)のご希望は、下記へ詳細をご記入下さい(対象商品のみ)。:]【水引の下(連名1)】：【連名2】：【連名3】：</t>
  </si>
  <si>
    <t>内容⇒【1点目⇒【祝　古希　洋子&amp;陽一】2点目⇒【祝　古希　洋子&amp;陽一】(商品1)baccarat-018】</t>
  </si>
  <si>
    <t>月18</t>
  </si>
  <si>
    <t>●【baccarat-161/2客】</t>
  </si>
  <si>
    <t>『D-03』『★』【バカラ】クリスタ タンブラー 2022 2客</t>
  </si>
  <si>
    <t>https://item.rakuten.co.jp/cavatina/baccarat-161</t>
  </si>
  <si>
    <t>baccarat-161●【フチ取り/逆彫り】●【明朝体】●【ボックス/パリの街並み】[■熨斗(のし)のご希望は、下記へ詳細をご記入下さい(対象商品のみ)。:]【水引の下(連名1)】：【連名2】：【連名3】：1個目…　朝人　、　2個目…　和子　　　　　　</t>
  </si>
  <si>
    <t>月19</t>
  </si>
  <si>
    <t>cosme-172-0-83</t>
  </si>
  <si>
    <t>★【cosme-172/83/ｳﾞｫﾘｭﾌﾟﾃｼｬｲﾝ】</t>
  </si>
  <si>
    <t>『2F』『★』【AK-1-3】【YSL】口紅 ルージュ ヴォリュプテ シャイン ■カラー:83/ルージュケープ ■JAN:3614272333253 ◆・封筒3・板小・ラピ袋S</t>
  </si>
  <si>
    <t>https://item.rakuten.co.jp/cavatina/cosme-172</t>
  </si>
  <si>
    <t>cosme-172-0-83●【マーク：希望しない】内容⇒【Misaki】2022-03-12(土)[■熨斗(のし)のご希望は、下記へ詳細をご記入下さい(対象商品のみ)。:]【水引の下(連名1)】：【連名2】：【連名3】：</t>
  </si>
  <si>
    <t>マーク⇒【希望しない】</t>
  </si>
  <si>
    <t>月20</t>
  </si>
  <si>
    <t>parfum-201</t>
  </si>
  <si>
    <t>★【parfum-201/ﾐｽ ﾃﾞｨｵｰﾙ ﾌﾞﾙｰﾐﾝｸﾞ EDT30ml】</t>
  </si>
  <si>
    <t>『2F』『★』【B-1-4】【ディオール】香水 ブルーミングブーケ EDT SP 30ml ■JAN:3348900871977 ◆・宅配小・プチ小・板大・割物注意・ラピ袋M</t>
  </si>
  <si>
    <t>https://item.rakuten.co.jp/cavatina/parfum-201</t>
  </si>
  <si>
    <t>parfum-201:Dear Haruka;お届け方法： 宅配便お支払い方法: ゆっくり払いコメント: お届け時間: お届け日: ギフト包装種類: 着荷種別: 通常</t>
  </si>
  <si>
    <t>月21</t>
  </si>
  <si>
    <t>●【マーク：スマイル】●【巾着(大)付き】AYAKOお届け方法： 宅配便お支払い方法: PayPay残高払いコメント: お届け時間: 09:00-12:00お届け日: 2022/03/06ギフト包装種類: 着荷種別: あすつく注文『翌日配送』</t>
  </si>
  <si>
    <t>マーク⇒【スマイル】</t>
  </si>
  <si>
    <t>月22</t>
  </si>
  <si>
    <t>●【巾着(大)付き】Kayomiお届け方法： 宅配便お支払い方法: クレジットカード決済コメント: お届け時間: お届け日: ギフト包装種類: 着荷種別: 通常</t>
  </si>
  <si>
    <t>月23</t>
  </si>
  <si>
    <t>lamy-008-0-bl</t>
  </si>
  <si>
    <t>●【lamy-008/bl】</t>
  </si>
  <si>
    <t>『2F』【I-4-6】【ラミー】シャーペン ラミーサファリ ※箱付き■カラー：ブルー ◆・封筒2・ラピ袋M</t>
  </si>
  <si>
    <t>https://item.rakuten.co.jp/cavatina/lamy-008</t>
  </si>
  <si>
    <t>内容⇒【ELINA】お届け方法： 宅配便お支払い方法: クレジットカード決済コメント: 名入れ　ELINAお届け時間: お届け日: 2022/03/06ギフト包装種類: 着荷種別: あすつく注文『翌日配送』</t>
  </si>
  <si>
    <t>月24</t>
  </si>
  <si>
    <t>hana-075-0-brpp</t>
  </si>
  <si>
    <t>★【hana-075/brpp/花時計 ｽｸｴｱ】</t>
  </si>
  <si>
    <t>【アリスフラワー】花時計スクエア ■カラー：ブラウン/エレガンスパープル∵ ■JAN: 4573152426357 ◆・G箱・緩衝材・天地無用・取扱注意</t>
  </si>
  <si>
    <t>https://item.rakuten.co.jp/cavatina/hana-075</t>
  </si>
  <si>
    <t>●【ガラスに名入れする/1100円】●【フォント：丸ゴシック】hana-075-0-brpp:Thanks for everything.;from 道上小学校職員一同お届け方法： 宅配便お支払い方法: クレジットカード決済コメント: お届け時間: お届け日: 2022/03/06ギフト包装種類: 着荷種別: あすつく注文『翌日配送』</t>
  </si>
  <si>
    <t>フォント⇒【丸ゴシック】</t>
  </si>
  <si>
    <t>月25</t>
  </si>
  <si>
    <t>cos-208</t>
  </si>
  <si>
    <t>●【cos-208/ﾄﾞﾙｶﾞﾊﾞ ﾗｲﾄﾌﾞﾙｰ50ml】</t>
  </si>
  <si>
    <t>『C-B2』【香水】【ドルガバ】 ライトブルー EDT 50ml ■JAN:3423473020264/737052074313/4517989103210 ◆・宅配小・プチ小・板大・割物注意・ラピ袋M</t>
  </si>
  <si>
    <t>https://item.rakuten.co.jp/cavatina/cos-208</t>
  </si>
  <si>
    <t>価格のわかるものをいれないでください。・名入れ1点につき有料(1100円)で ：即日配送不可・2～3営業日の出荷になります/代引き不可・●【1行目】名入れ内容をご入力ください。 ：HappyBirthday・●【2行目】必要な方はご入力ください。 ：Dear Yusei・●【3行目】必要な方はご入力ください。 ：・ラッピングを選択してください ：</t>
  </si>
  <si>
    <t>内容⇒【1100円】</t>
  </si>
  <si>
    <t>内容⇒【価格のわかるものをいれないでください。・名入れ1点につき有料(1100円)で ：】</t>
  </si>
  <si>
    <t>月26</t>
  </si>
  <si>
    <t>価格のわかるものをいれないでください。・名入れ1点につき有料(1100円)で ：即日配送不可・2～3営業日の出荷になります/代引き不可・名入れ内容(15文字まで)ご記入ください ：Natsuki・マーク ：●【マーク:クローバー】・ラッピングを選択してください ：・巾着ポーチが無料でついてくる! ：●【巾着(大)付き】</t>
  </si>
  <si>
    <t>月27</t>
  </si>
  <si>
    <t>価格のわかるものをいれないでください。・名入れ1点につき有料(1100円)で ：即日配送不可・2～3営業日の出荷になります/代引き不可・名入れ内容を記載してください(6文字) ：HarU・この商品は包装紙ラッピング済です ：●【シャネル包装紙ラッピング済】・シャネルのショッパー(紙袋)を無料で ：(品切れにより休止中)</t>
  </si>
  <si>
    <t>月28</t>
  </si>
  <si>
    <t>dior-030</t>
  </si>
  <si>
    <t>●【(dior-030)ディオール ギフトBOX入り】</t>
  </si>
  <si>
    <t>『2F』『★』【B-1-4】【ディオール】ミス ディオール ハンド クリーム＆ルージュ ディオール バーム ■JAN:2125391120279 ■箱入り ◆・宅配小・プチ小・ラピ袋M</t>
  </si>
  <si>
    <t>https://item.rakuten.co.jp/cavatina/dior-030</t>
  </si>
  <si>
    <t>価格のわかるものをいれないでください。・この商品はラッピング済みです。 ：●。・名入れ1点につき有料(1100円)で ：即日配送不可・2～3営業日の出荷になります/代引き不可・名入れ内容を記載してください ：ai・ディオールのショッパー(紙袋)を無料で ：</t>
  </si>
  <si>
    <t>月29</t>
  </si>
  <si>
    <t>cosme-031</t>
  </si>
  <si>
    <t>★【cosme-031/ｼｬﾈﾙ　ｺﾝﾊﾟｸﾄﾐﾗｰ】</t>
  </si>
  <si>
    <t>『2F』『★』【AK-4-9】【シャネル】ミラー ミロワール ドゥーブル ファセット ブラック ■JAN: 3145891375008 ◆・封筒3・板小・ラピ袋S</t>
  </si>
  <si>
    <t>https://item.rakuten.co.jp/cavatina/cosme-031</t>
  </si>
  <si>
    <t>価格のわかるものをいれないでください。・名入れ1点につき有料(1100円)で ：即日配送不可・2～3営業日の出荷になります/代引き不可・名入れ内容を記載してください ：Ayaka・この商品は包装紙ラッピング済です ：●【シャネル包装紙ラッピング済】・シャネルのショッパー(紙袋)を無料で ：(品切れにより休止中)・配送便 ：・ネコポス配送の場合は即日配送適応外となります。 ：</t>
  </si>
  <si>
    <t>月30</t>
  </si>
  <si>
    <t>★【baccarat-004/1客】</t>
  </si>
  <si>
    <t>『D-01』『★』【バカラ】1客 ベルーガ ハイボール グラス 2811814∵ ◆・G箱・緩衝材・プチシート・割物注意</t>
  </si>
  <si>
    <t>https://item.rakuten.co.jp/cavatina/baccarat-004</t>
  </si>
  <si>
    <t>価格のわかるものをいれないでください。・名入れ1点につき有料(1100円)で ：即日配送不可・2～3営業日の出荷になります/代引き不可・名入れ内容(15文字まで)ご記入ください ：Daisuke・熨斗の種類 ：・ラッピングを選択してください ：・バカラのショッパー(紙袋)を無料で ：・有料(1，100円)でボックスにプリント ：希望しない</t>
  </si>
  <si>
    <t>月31</t>
  </si>
  <si>
    <t>価格のわかるものをいれないでください。・名入れ有料(2200円)で ：即日配送不可・2～3営業日の出荷になります/代引き不可・1点目の名入れ内容(20文字以内) ：Best wishes Y&amp;M・2点目の名入れ内容(20文字以内) ：Best wishes Y&amp;M・熨斗の種類 ：★【御結婚御祝】・熨斗の名入れ ：【名入れ無し】・ラッピングを選択してください ：・バカラのショッパー(紙袋)を無料で ：・有料(1，100円)でボックスにプリント ：希望しない</t>
  </si>
  <si>
    <t>内容⇒【2200円】</t>
  </si>
  <si>
    <t>月32</t>
  </si>
  <si>
    <t>価格のわかるものをいれないでください。・バカラのショッパー(紙袋)を無料で ：・ラッピングを選択してください ：・名入れ1点につき有料(1100円)で ：●・名入れ内容はこちら ：yukako・熨斗の種類 ：</t>
  </si>
  <si>
    <t>月33</t>
  </si>
  <si>
    <t>★【baccarat-068/2客】</t>
  </si>
  <si>
    <t>『D-02』『★』【バカラ】2客 ミルニュイ ハイボール 2105761∵ ◆・G箱・緩衝材・プチシート・割物注意</t>
  </si>
  <si>
    <t>https://item.rakuten.co.jp/cavatina/baccarat-068</t>
  </si>
  <si>
    <t>価格のわかるものをいれないでください。・名入れ有料(2200円)で ：即日配送不可・2～3営業日の出荷になります/代引き不可・名入れ内容1点目(15文字まで) ：Hideki&amp;Kanae・名入れ内容2点目(15文字まで) ：Hideki&amp;Kanae・熨斗の種類 ：★【御結婚御祝】・熨斗の名入れ ：【名入れ無し】・ラッピングを選択してください ：・バカラのショッパー(紙袋)を無料で ：</t>
  </si>
  <si>
    <t>月34</t>
  </si>
  <si>
    <t>cosme-070</t>
  </si>
  <si>
    <t>★【cosme-070/ｼﾞﾙ ｺﾝﾊﾟｸﾄﾐﾗｰ】</t>
  </si>
  <si>
    <t>『2F』『★』【B-1-4】【ジルスチュアート】ミラー 20743 ■JAN: 4971710207439 ◆・封筒2・ラピ袋M</t>
  </si>
  <si>
    <t>https://item.rakuten.co.jp/cavatina/cosme-070</t>
  </si>
  <si>
    <t>Rinka[■熨斗(のし)のご希望は、下記へ詳細をご記入下さい(対象商品のみ)。:]【水引の下(連名1)】：【連名2】：【連名3】：</t>
  </si>
  <si>
    <t>内容⇒【(商品3)cosme-070】</t>
  </si>
  <si>
    <t>月35</t>
  </si>
  <si>
    <t>内容⇒【Etsuko】マーク⇒【流れ星】●【巾着(大)付き】●【名入れ希望する/無料】Etsuko[■熨斗(のし)のご希望は、下記へ詳細をご記入下さい(対象商品のみ)。:]【水引の下(連名1)】：【連名2】：【連名3】：</t>
  </si>
  <si>
    <t>内容⇒【のし】</t>
  </si>
  <si>
    <t>月36</t>
  </si>
  <si>
    <t>hana-070-0-elsa</t>
  </si>
  <si>
    <t>★【hana-070/elsa/雪の女王/ﾊｰﾊﾞﾘｳﾑﾍﾟﾝ】</t>
  </si>
  <si>
    <t>【アリスフラワー】ハーバリウム ボールペン ■カラー：雪の女王∵ ■JAN: 4573152425930 ◆・封筒3</t>
  </si>
  <si>
    <t>https://item.rakuten.co.jp/cavatina/hana-070</t>
  </si>
  <si>
    <t>hana-070-0-elsa●【内容:Nanami.S】[■熨斗(のし)のご希望は、下記へ詳細をご記入下さい(対象商品のみ)。:]【水引の下(連名1)】：【連名2】：【連名3】：</t>
  </si>
  <si>
    <t>月37</t>
  </si>
  <si>
    <t>●【巾着(大)付き】●【マーク：バラ】【楽天発行クーポン利用額】100[■熨斗(のし)のご希望は、下記へ詳細をご記入下さい(対象商品のみ)。:]【水引の下(連名1)】：【連名2】：【連名3】：名入れ希望　Neo</t>
  </si>
  <si>
    <t>月38</t>
  </si>
  <si>
    <t>●【巾着(大)付き】●【マーク：ハート】[■熨斗(のし)のご希望は、下記へ詳細をご記入下さい(対象商品のみ)。:]【水引の下(連名1)】：【連名2】：【連名3】：Hitomi</t>
  </si>
  <si>
    <t>月39</t>
  </si>
  <si>
    <t>●【巾着(大)付き】●【マーク：スマイル】2022-03-12(土)[■熨斗(のし)のご希望は、下記へ詳細をご記入下さい(対象商品のみ)。:]【水引の下(連名1)】：【連名2】：【連名3】：Natchan</t>
  </si>
  <si>
    <t>月40</t>
  </si>
  <si>
    <t>2022-03-11(金)[■熨斗(のし)のご希望は、下記へ詳細をご記入下さい(対象商品のみ)。:]【水引の下(連名1)】：【連名2】：【連名3】：Aren</t>
  </si>
  <si>
    <t>月41</t>
  </si>
  <si>
    <t>cosme-037-0-15</t>
  </si>
  <si>
    <t>★【cosme-037/15/ｳﾞｫﾘｭﾌﾟﾃｼｬｲﾝ】</t>
  </si>
  <si>
    <t>『2F』『★』【AK-1-1】【YSL】口紅 ルージュ ヴォリュプテ シャイン ■カラー：15/コライユスポンティ二ー ■JAN: 3365440237681 ◆・封筒3・板小・ラピ袋S</t>
  </si>
  <si>
    <t>https://item.rakuten.co.jp/cavatina/cosme-037</t>
  </si>
  <si>
    <t>●【マーク：サクラ】[■熨斗(のし)のご希望は、下記へ詳細をご記入下さい(対象商品のみ)。:]【水引の下(連名1)】：【連名2】：【連名3】：名入れ: Yuka</t>
  </si>
  <si>
    <t>内容⇒【(商品2)cosme-037-0-15】</t>
  </si>
  <si>
    <t>マーク⇒【サクラ】</t>
  </si>
  <si>
    <t>月42</t>
  </si>
  <si>
    <t>hana-070-0-tink</t>
  </si>
  <si>
    <t>★【hana-070/tink/ﾋﾟｸｼｰ/ﾊｰﾊﾞﾘｳﾑﾍﾟﾝ】</t>
  </si>
  <si>
    <t>【アリスフラワー】ハーバリウム ボールペン ■カラー：ピクシー∵ ■JAN: 4573152426791 ◆・封筒3</t>
  </si>
  <si>
    <t>hana-070-0-tink●【内容:Rie.Y】2022-03-11(金)[■熨斗(のし)のご希望は、下記へ詳細をご記入下さい(対象商品のみ)。:]【水引の下(連名1)】：【連名2】：【連名3】：</t>
  </si>
  <si>
    <t>月43</t>
  </si>
  <si>
    <t>内容⇒【Jyunna】●【巾着(大)付き】2022-03-12(土)[■熨斗(のし)のご希望は、下記へ詳細をご記入下さい(対象商品のみ)。:]【水引の下(連名1)】：【連名2】：【連名3】：Jyunna   で名入れをお願いします。字体は選べるのでしょうか？</t>
  </si>
  <si>
    <t>内容⇒【内容⇒【Jyunna】(商品3)cosme-189】</t>
  </si>
  <si>
    <t>月44</t>
  </si>
  <si>
    <t>cosme-023</t>
  </si>
  <si>
    <t>★【cosme-023/ｺｺﾎﾞｰﾑ】</t>
  </si>
  <si>
    <t>『2F』『★』【AK-4-3】【シャネル】口紅 ルージュ ココボォーム 【NEWパッケージ】  ■JAN: 3145891719123 ◆・封筒3・板小・ラピ袋S</t>
  </si>
  <si>
    <t>https://item.rakuten.co.jp/cavatina/cosme-023</t>
  </si>
  <si>
    <t>cosme-023●【マーク：希望しない】●【シャネル包装紙ラッピング済】[■熨斗(のし)のご希望は、下記へ詳細をご記入下さい(対象商品のみ)。:]【水引の下(連名1)】：【連名2】：【連名3】：名前入れ文字　:  Rei</t>
  </si>
  <si>
    <t>月45</t>
  </si>
  <si>
    <t>cosme-211</t>
  </si>
  <si>
    <t>★【cosme-211/ﾙ ﾘﾌﾄ ﾗｸﾚｰﾑﾏﾝ（黒）】</t>
  </si>
  <si>
    <t>『2F』『★』【A-3-2】【シャネル】ハンドクリーム ル リフト ラ クレーム マン 50ml ■JAN:3145891416404 ◆・宅配小・プチ小・ラピ袋M</t>
  </si>
  <si>
    <t>https://item.rakuten.co.jp/cavatina/cosme-211</t>
  </si>
  <si>
    <t>cosme-211●【シャネル包装紙ラッピング済】●【内容:Megumi】[■熨斗(のし)のご希望は、下記へ詳細をご記入下さい(対象商品のみ)。:]【水引の下(連名1)】：【連名2】：【連名3】：</t>
  </si>
  <si>
    <t>月46</t>
  </si>
  <si>
    <t>●【巾着(大)付き】●【マーク：鳥】[■熨斗(のし)のご希望は、下記へ詳細をご記入下さい(対象商品のみ)。:]【水引の下(連名1)】：【連名2】：【連名3】：Natsumi</t>
  </si>
  <si>
    <t>マーク⇒【鳥】</t>
  </si>
  <si>
    <t>月47</t>
  </si>
  <si>
    <t>1点目⇒【A dick for all.】2点目⇒【All for a dick.】●【フチ取り/逆彫り】●【筆記体】baccarat-161[■熨斗(のし)のご希望は、下記へ詳細をご記入下さい(対象商品のみ)。:]【水引の下(連名1)】：【連名2】：【連名3】：名入れはそれぞれ下記の通りお願いします。1.  A dick for all.2.  All for a dick.</t>
  </si>
  <si>
    <t>内容⇒【1点目⇒【A dick for all.】2点目⇒【All for a dick.】】</t>
  </si>
  <si>
    <t>月48</t>
  </si>
  <si>
    <t>●【巾着(大)付き】●【マーク：希望しない】[■熨斗(のし)のご希望は、下記へ詳細をご記入下さい(対象商品のみ)。:]【水引の下(連名1)】：【連名2】：【連名3】：Rina</t>
  </si>
  <si>
    <t>内容⇒【(商品3)cosme-189】</t>
  </si>
  <si>
    <t>月49</t>
  </si>
  <si>
    <t>baccarat-138</t>
  </si>
  <si>
    <t>★【baccarat-138/2客】</t>
  </si>
  <si>
    <t>『D-03』『★』【バカラ】2客 ブラーヴァ タンブラー ペア 2813842∵ ◆・G箱・緩衝材・プチシート・割物注意</t>
  </si>
  <si>
    <t>https://item.rakuten.co.jp/cavatina/baccarat-138</t>
  </si>
  <si>
    <t>baccarat-138●【ボックス/パリの街並み】●【メッセージ/Tank You】1点目⇒【takahiro  teacher 1984】2点目⇒【From  your  students】2022-03-18(金)[■熨斗(のし)のご希望は、下記へ詳細をご記入下さい(対象商品のみ)。:]【水引の下(連名1)】：【連名2】：【連名3】：</t>
  </si>
  <si>
    <t>月50</t>
  </si>
  <si>
    <t>●【巾着(大)付き】●【マーク：ハート】2022-03-14(月)[■熨斗(のし)のご希望は、下記へ詳細をご記入下さい(対象商品のみ)。:]【水引の下(連名1)】：【連名2】：【連名3】：Yui</t>
  </si>
  <si>
    <t>月51</t>
  </si>
  <si>
    <t>cosme-030-0-412</t>
  </si>
  <si>
    <t>★【cosme-030/412/ﾙｰｼﾞｭｺｺ】</t>
  </si>
  <si>
    <t>『2F』『★』【AK-3-3】【シャネル】口紅 ルージュ ココ ■カラー：412/テヘラン ■JAN:3145891724127 ◆・封筒3・板小・ラピ袋S</t>
  </si>
  <si>
    <t>内容⇒【Shiori（キスマーク）】cosme-030-0-412●【マーク：キスマーク】[■熨斗(のし)のご希望は、下記へ詳細をご記入下さい(対象商品のみ)。:]【水引の下(連名1)】：【連名2】：【連名3】：Shiori&amp;#128139;-------------------------------------</t>
  </si>
  <si>
    <t>マーク⇒【キス】</t>
  </si>
  <si>
    <t>月52</t>
  </si>
  <si>
    <t>baccarat-160●【フチ取り/逆彫り】●【明朝体】★【熨斗】2022-03-11(金)[■熨斗(のし)のご希望は、下記へ詳細をご記入下さい(対象商品のみ)。:]【水引の下(連名1)】：父【連名2】：母【連名3】：めぐみ祝退職　ひとみ　2022.3.31</t>
  </si>
  <si>
    <t>内容⇒【(商品2)baccarat-160】</t>
  </si>
  <si>
    <t>月53</t>
  </si>
  <si>
    <t>●【巾着(大)付き】2022-03-12(土)[■熨斗(のし)のご希望は、下記へ詳細をご記入下さい(対象商品のみ)。:]【水引の下(連名1)】：【連名2】：【連名3】：名入れ希望:Harukaラッピングも希望です。よろしくお願いいたします。</t>
  </si>
  <si>
    <t>月54</t>
  </si>
  <si>
    <t>jillstuart-024-0-01</t>
  </si>
  <si>
    <t>●【jillstuart-024/01/ﾘｯﾌﾟ ｾﾗﾑﾊﾞｰﾑ】</t>
  </si>
  <si>
    <t>『2F』『★』【AK-5-1】【ジルスチュアート】リップ グロウ セラムバーム ■カラー:1/ピュアピンク ■JAN:4971710293319 ◆・封筒3・板小・ラピ袋S</t>
  </si>
  <si>
    <t>https://item.rakuten.co.jp/cavatina/jillstuart-024</t>
  </si>
  <si>
    <t>jillstuart-024-0-012022-03-11(金)[■熨斗(のし)のご希望は、下記へ詳細をご記入下さい(対象商品のみ)。:]名前希望です。ローマ字の筆記体でShouko(しょうこ)を希望的です。</t>
  </si>
  <si>
    <t>内容⇒【(商品3)jillstuart-024-0-01】</t>
  </si>
  <si>
    <t>月55</t>
  </si>
  <si>
    <t>baccarat-161●【ボックス/パリの街並み】[■熨斗(のし)のご希望は、下記へ詳細をご記入下さい(対象商品のみ)。:]【水引の下(連名1)】：【連名2】：【連名3】：</t>
  </si>
  <si>
    <t>月56</t>
  </si>
  <si>
    <t>baccarat-030</t>
  </si>
  <si>
    <t>★【baccarat-030/1客】</t>
  </si>
  <si>
    <t>『D-02』『★』【バカラ】1客 オノロジー ビア タンブラー 2103547∵ ◆・G箱・緩衝材・プチシート・割物注意</t>
  </si>
  <si>
    <t>https://item.rakuten.co.jp/cavatina/baccarat-030</t>
  </si>
  <si>
    <t>baccarat-030●【筆記体】[■熨斗(のし)のご希望は、下記へ詳細をご記入下さい(対象商品のみ)。:]【水引の下(連名1)】：【連名2】：【連名3】：名入れATSUMI</t>
  </si>
  <si>
    <t>内容⇒【(商品3)baccarat-030】</t>
  </si>
  <si>
    <t>月57</t>
  </si>
  <si>
    <t>●【巾着(大)付き】2022-03-12(土)[■熨斗(のし)のご希望は、下記へ詳細をご記入下さい(対象商品のみ)。:]【水引の下(連名1)】：【連名2】：【連名3】：yurika</t>
  </si>
  <si>
    <t>月58</t>
  </si>
  <si>
    <t>●【巾着(大)付き】●【マーク：希望しない】[■熨斗(のし)のご希望は、下記へ詳細をご記入下さい(対象商品のみ)。:]【水引の下(連名1)】：【連名2】：【連名3】：パドルの名入れRisa</t>
  </si>
  <si>
    <t>月59</t>
  </si>
  <si>
    <t>baccarat-161●【ボックス/パリの街並み】●【メッセージ/Happy Wedding】[■熨斗(のし)のご希望は、下記へ詳細をご記入下さい(対象商品のみ)。:]【水引の下(連名1)】：【連名2】：【連名3】：</t>
  </si>
  <si>
    <t>月60</t>
  </si>
  <si>
    <t>●【巾着(小)付き】●【マーク：希望しない】[■熨斗(のし)のご希望は、下記へ詳細をご記入下さい(対象商品のみ)。:]【水引の下(連名1)】：【連名2】：【連名3】：yutaka</t>
  </si>
  <si>
    <t>月61</t>
  </si>
  <si>
    <t>-naire:Yurino 名入れ希望</t>
  </si>
  <si>
    <t>月62</t>
  </si>
  <si>
    <t>baccarat-138-ribon-bp-0-paris:石井佳子</t>
  </si>
  <si>
    <t>月63</t>
  </si>
  <si>
    <t>★【baccarat-137/1客】</t>
  </si>
  <si>
    <t>『D-03』『★』【バカラ】1客 ブラーヴァ タンブラー 2813843∵ ◆・G箱・緩衝材・プチシート・割物注意</t>
  </si>
  <si>
    <t>https://item.rakuten.co.jp/cavatina/baccarat-137</t>
  </si>
  <si>
    <t>baccarat-137-naire-ribon-bp-0-paris:Happy Birthday Jundai 名入れ希望</t>
  </si>
  <si>
    <t>月64</t>
  </si>
  <si>
    <t>baccarat-011</t>
  </si>
  <si>
    <t>★【baccarat-011/2客】</t>
  </si>
  <si>
    <t>『D-01』『★』【バカラ】2客 ベルーガ タンブラー 2104388∵ ◆・G箱・緩衝材・プチシート・割物注意</t>
  </si>
  <si>
    <t>https://item.rakuten.co.jp/cavatina/baccarat-011</t>
  </si>
  <si>
    <t>-ribon-coaster-naire:Mocha &amp; Yosshy 廣部　好弘1点目⇒【Mocha &amp; Yosshy】2点目⇒【Mocha &amp; Yosshy】</t>
  </si>
  <si>
    <t>内容⇒【Mocha &amp; Yosshy 廣部　好弘【のし確認】wrapping-0011点目⇒【Mocha &amp; Yosshy】2点目⇒【Mocha &amp; Yosshy】】</t>
  </si>
  <si>
    <t>月65</t>
  </si>
  <si>
    <t>hana-081-0-ursla</t>
  </si>
  <si>
    <t>★【hana-081-0-ursla】</t>
  </si>
  <si>
    <t>【アリスフラワー】プリンセスハーバリウムボールペン+スワロフスキー ■カラー：海の魔女 ◆・封筒3</t>
  </si>
  <si>
    <t>https://item.rakuten.co.jp/cavatina/hana-081</t>
  </si>
  <si>
    <t>hana-081-gift-naire-0-ursla:Nobue Ono ↑ペンに入れる名前 地域.高年福祉課一同</t>
  </si>
  <si>
    <t>月66</t>
  </si>
  <si>
    <t>lamy-008-0-wh</t>
  </si>
  <si>
    <t>★【lamy-008/wh】</t>
  </si>
  <si>
    <t>『2F』【I-4-6】【ラミー】シャーペン ラミーサファリ ※箱付き■カラー：ホワイト ◆・封筒2・ラピ袋M</t>
  </si>
  <si>
    <t>lamy-008-naire-0-wh:Ryoya Oka 岡諒弥</t>
  </si>
  <si>
    <t>月67</t>
  </si>
  <si>
    <t>-naire:kyoka 名入れ希望</t>
  </si>
  <si>
    <t>月68</t>
  </si>
  <si>
    <t>-naire:Taeko N 名入れ希望</t>
  </si>
  <si>
    <t>月69</t>
  </si>
  <si>
    <t>-naire:nobuko</t>
  </si>
  <si>
    <t>月70</t>
  </si>
  <si>
    <t>-naire:Haruka 名入れ希望</t>
  </si>
  <si>
    <t>月71</t>
  </si>
  <si>
    <t>-naire:Chica. 名入れ希望</t>
  </si>
  <si>
    <t>月72</t>
  </si>
  <si>
    <t>cosme-218-0-012</t>
  </si>
  <si>
    <t>●【cosme-218/012/ﾃﾞｨｵｰﾙ ｱﾃﾞｨｸﾄﾘｯﾌﾟ ｸﾞﾛｳｵｲﾙ】</t>
  </si>
  <si>
    <t>『2F』『★』【AK-5-6】【ディオール】アディクト リップ グロウ オイル ■カラー:012/ローズウッド ■JAN:3348901491235 ◆・封筒3・板小・ラピ袋S</t>
  </si>
  <si>
    <t>https://item.rakuten.co.jp/cavatina/cosme-218</t>
  </si>
  <si>
    <t>cosme-218-gift-naire-0-012:愛を込めて カズ内容⇒【Muku】</t>
  </si>
  <si>
    <t>月73</t>
  </si>
  <si>
    <t>cosme-173-0-90</t>
  </si>
  <si>
    <t>★【cosme-173/90/ｼｬﾈﾙ ｺｺ ﾌﾗｯｼｭ】</t>
  </si>
  <si>
    <t>『2F』『★』【AK-2-6】【シャネル】口紅 ルージュ ココ フラッシュ ■カラー：90/ジュール ■JAN:3145891740905 ◆・封筒3・板小・ラピ袋S</t>
  </si>
  <si>
    <t>https://item.rakuten.co.jp/cavatina/cosme-173</t>
  </si>
  <si>
    <t>【名入れ】Sae</t>
  </si>
  <si>
    <t>月74</t>
  </si>
  <si>
    <t>cosme-199-0-365</t>
  </si>
  <si>
    <t>★【cosme-199/365/ﾙｰｼﾞｭﾃﾞｨｵｰﾙ】</t>
  </si>
  <si>
    <t>『2F』『★』【AK-5-10】【ディオール】口紅 ルージュ ディオール ■カラー：365/ニューワールド ■JAN:3348901305242/3348901527347 ◆・封筒3・板小・ラピ袋S</t>
  </si>
  <si>
    <t>https://item.rakuten.co.jp/cavatina/cosme-199</t>
  </si>
  <si>
    <t>●【マーク：ハート】cosme-199-0-365:SUZUKAお届け方法： 宅配便お支払い方法: クレジットカード決済コメント: お届け時間: お届け日: ギフト包装種類: 着荷種別: 通常</t>
  </si>
  <si>
    <t>月75</t>
  </si>
  <si>
    <t>cosme-043-0-004</t>
  </si>
  <si>
    <t>★【cosme-043/004/Dior ｱﾃﾞｨｸﾄﾏｷｼﾏｲｻﾞｰ】</t>
  </si>
  <si>
    <t>『2F』『★』【AK-5-1】【ディオール】口紅 アディクト リップ マキシマイザー ■カラー:004/コーラル ■JAN:3348901431071 ◆・封筒3・板小・ラピ袋S</t>
  </si>
  <si>
    <t>https://item.rakuten.co.jp/cavatina/cosme-043</t>
  </si>
  <si>
    <t>cosme-043-0-004:Seasお届け方法： 宅配便お支払い方法: PayPay残高払いコメント: お届け時間: お届け日: 2022/03/14ギフト包装種類: 着荷種別: 通常</t>
  </si>
  <si>
    <t>月76</t>
  </si>
  <si>
    <t>cosme-043-0-012</t>
  </si>
  <si>
    <t>★【cosme-043/012/Dior ｱﾃﾞｨｸﾄﾏｷｼﾏｲｻﾞｰ】</t>
  </si>
  <si>
    <t>『2F』『★』【AK-5-1】【ディオール】口紅 アディクト リップ マキシマイザー ■カラー:012/ローズウッド ■JAN:3348901443166 ◆・封筒3・板小・ラピ袋S</t>
  </si>
  <si>
    <t>cosme-043-0-012:Sayoお届け方法： 宅配便お支払い方法: PayPay残高払いコメント: お届け時間: お届け日: 2022/03/14ギフト包装種類: 着荷種別: 通常</t>
  </si>
  <si>
    <t>月77</t>
  </si>
  <si>
    <t>bot-156</t>
  </si>
  <si>
    <t>★【bot-156/ｶｰﾄﾞｹｰｽ】</t>
  </si>
  <si>
    <t>『2F』【G-6-3】【ボッテガ】カードケース ブラック 174646 V4651 1000 ◆・H箱・緩衝材・プチ小・ラピ袋M</t>
  </si>
  <si>
    <t>https://item.rakuten.co.jp/cavatina/bot-156</t>
  </si>
  <si>
    <t>●【名入れする/2980円】●【ケアキットをGETする】●【オリジナル紙袋/希望する】:h.aお届け方法： 宅配便お支払い方法: クレジットカード決済コメント: お届け時間: お届け日: ギフト包装種類: 着荷種別: 通常</t>
  </si>
  <si>
    <t>月78</t>
  </si>
  <si>
    <t>hana-070-0-rap</t>
  </si>
  <si>
    <t>★【hana-070/rap/ﾗﾌﾟﾝﾂｪﾙ/ﾊｰﾊﾞﾘｳﾑﾍﾟﾝ】</t>
  </si>
  <si>
    <t>【アリスフラワー】ハーバリウム ボールペン ■カラー：ラプンツェル∵ ■JAN: 4573152425916 ◆・封筒3</t>
  </si>
  <si>
    <t>hana-070-0-rap:Harumiお届け方法： 宅配便お支払い方法: PayPayあと払いコメント: お届け時間: お届け日: 2022/03/15ギフト包装種類: 着荷種別: 通常</t>
  </si>
  <si>
    <t>月79</t>
  </si>
  <si>
    <t>cosme-094:K.yukaお届け方法： 宅配便お支払い方法: PayPay残高払いコメント: お届け時間: お届け日: ギフト包装種類: 着荷種別: 通常</t>
  </si>
  <si>
    <t>月80</t>
  </si>
  <si>
    <t>●【マーク：ハート】●【巾着(大)付き】:Maayaお届け方法： 宅配便お支払い方法: PayPay残高払いコメント: お届け時間: お届け日: ギフト包装種類: 着荷種別: 通常</t>
  </si>
  <si>
    <t>月81</t>
  </si>
  <si>
    <t>★【baccarat-155/1客】</t>
  </si>
  <si>
    <t>『D-03』『★』【バカラ】1客 グラス ジャパン ブラーヴァ∵ ◆・G箱・緩衝材・プチシート・割物注意</t>
  </si>
  <si>
    <t>https://item.rakuten.co.jp/cavatina/baccarat-155</t>
  </si>
  <si>
    <t>baccarat-155:2022年還暦祝【のし】：★【御祝】【名入れ】：お届け方法： 宅配便お支払い方法: ポイント全額払いコメント: お届け時間: 09:00-12:00お届け日: 2022/03/09ギフト包装種類: 着荷種別: 通常</t>
  </si>
  <si>
    <t>月82</t>
  </si>
  <si>
    <t>bvlgari-160</t>
  </si>
  <si>
    <t>●【bvlgari-160】</t>
  </si>
  <si>
    <t>『2F』【I-3-6】【ブルガリ】長財布 ブルガリブルガリ ブラック 30416 BLACK ◆・H箱・緩衝材・プチ小・ラピ袋L</t>
  </si>
  <si>
    <t>https://item.rakuten.co.jp/cavatina/bvlgari-160</t>
  </si>
  <si>
    <t>●【ケアキットをGETする】●【オリジナル紙袋/希望する】bvlgari-160:Katsukoお届け方法： 宅配便お支払い方法: PayPay残高払いコメント: お届け時間: お届け日: ギフト包装種類: 着荷種別: 通常</t>
  </si>
  <si>
    <t>月83</t>
  </si>
  <si>
    <t>●【baccarat-158/2客】</t>
  </si>
  <si>
    <t>『D-03』『★』【バカラ】2客 グラス ジャパン ティアラ ペア 2814271∵ ◆・G箱・緩衝材・プチシート・割物注意</t>
  </si>
  <si>
    <t>https://item.rakuten.co.jp/cavatina/baccarat-158</t>
  </si>
  <si>
    <t>1点目⇒【Satoru】2点目⇒【Miyu】baccarat-158:Satoru;Miyu【のし】：★【御結婚御祝】【名入れ】：小山田お届け方法： 宅配便お支払い方法: クレジットカード決済コメント: お世話になります。 / どこかの書込みに「グラスが汚れていた」というのがありました。たまたまだと思いますが、ご確認の上綺麗なものをお願いします。 / 失礼なお願いで申し訳ありません。 / 直接お相手へのお届けですので、宜しくお願いします。お届け時間: お届け日: ギフト包装種類: 着荷種別: 通常</t>
  </si>
  <si>
    <t>月84</t>
  </si>
  <si>
    <t>baccarat-161:Kin san　2点目Naomi sanお届け方法： 宅配便お支払い方法: クレジットカード決済コメント: 一点目　Kin san / 二点目　Naomi san / 「san」の前にスペースをお願いします。 / 申し訳ありませんが、11日に届くと助かりますお届け時間: お届け日: ギフト包装種類: 着荷種別: 通常</t>
  </si>
  <si>
    <t>月85</t>
  </si>
  <si>
    <t>●【マーク：バラ】●【巾着(大)付き】Chihoお届け方法： 宅配便お支払い方法: クレジットカード決済コメント: お届け時間: お届け日: 2022/03/09ギフト包装種類: 着荷種別: 通常</t>
  </si>
  <si>
    <t>月86</t>
  </si>
  <si>
    <t>hana-080-0-12</t>
  </si>
  <si>
    <t>★【hana-080-0-12/ﾀﾝｻﾞﾅｲﾄ】</t>
  </si>
  <si>
    <t>【アリスフラワー】誕生石ボールペン ■カラー：12月/タンザナイト∵ ■JAN: 4573152426777 ◆・封筒3</t>
  </si>
  <si>
    <t>https://item.rakuten.co.jp/cavatina/hana-080</t>
  </si>
  <si>
    <t>hana-080-0-12:S.Natsueお届け方法： 宅配便お支払い方法: クレジットカード決済コメント: お届け時間: お届け日: 2022/03/09ギフト包装種類: 着荷種別: 通常</t>
  </si>
  <si>
    <t>月87</t>
  </si>
  <si>
    <t>hana-081-0-jas</t>
  </si>
  <si>
    <t>★【hana-081-0-jas】</t>
  </si>
  <si>
    <t>【アリスフラワー】プリンセスハーバリウムボールペン+スワロフスキー ■カラー：ジャスミン∵ ■JAN: 4573152426913 ◆・封筒3</t>
  </si>
  <si>
    <t>hana-081-0-jas:Nanaoお届け方法： 宅配便お支払い方法: クレジットカード決済コメント: お届け時間: お届け日: 2022/03/08ギフト包装種類: 着荷種別: 通常</t>
  </si>
  <si>
    <t>月88</t>
  </si>
  <si>
    <t>●【マーク：鳥】●【巾着(大)付き】Yukiお届け方法： 宅配便お支払い方法: クレジットカード決済コメント: お届け時間: お届け日: ギフト包装種類: 着荷種別: 通常</t>
  </si>
  <si>
    <t>月89</t>
  </si>
  <si>
    <t>baccarat-138:Kanagawa  2022;Kanagawa  2022お届け方法： 宅配便お支払い方法: PayPay残高払いコメント: 今週の3/11か3/14くらいの発送になりますでしょうか&amp;#8264; / 少し急いでいまして、申し訳ございませんが / 返信をお願いいたします。間に合わない様で有れば / キャンセルでお願いいたします。お届け時間: お届け日: ギフト包装種類: 着荷種別: 通常</t>
  </si>
  <si>
    <t>月90</t>
  </si>
  <si>
    <t>stanley-004-0-gr</t>
  </si>
  <si>
    <t>☆【stanley-004/gr/0.47L/10-01228-023/042】</t>
  </si>
  <si>
    <t>『D-08』【スタンレー】水筒 0.47L クラシック真空ボトル CLASSIC VACUUM BOTTLE ■カラー:グリーン ■JAN:6939236317825/6939236347884 ◆・G箱・緩衝材・プチシート・取扱注意</t>
  </si>
  <si>
    <t>https://item.rakuten.co.jp/cavatina/stanley-004</t>
  </si>
  <si>
    <t>内容⇒【Mayu.I】お届け方法： 宅配便お支払い方法: クレジットカード決済コメント: 名入れ希望です。 / 入れて欲しい文字… / Mayu.I /  / です。プラス1，100円了承済みです。 /  / 小学校の卒業式に先生へプレゼントするものなので、 / クラスの保護者様に提示する領収書もお願い致します。お届け時間: お届け日: ギフト包装種類: 着荷種別: 通常</t>
  </si>
  <si>
    <t>月91</t>
  </si>
  <si>
    <t>★【baccarat-153/1客】</t>
  </si>
  <si>
    <t>『D-03』『★』【バカラ】1客 ティアラ タンブラー 2021∵ ◆・G箱・緩衝材・プチシート・割物注意</t>
  </si>
  <si>
    <t>https://item.rakuten.co.jp/cavatina/baccarat-153</t>
  </si>
  <si>
    <t>Tatsuzo Matsumotoお届け方法： 宅配便お支払い方法: PayPay残高払いコメント: お届け時間: お届け日: 2022/03/08ギフト包装種類: 着荷種別: 通常</t>
  </si>
  <si>
    <t>月92</t>
  </si>
  <si>
    <t>parfum-555</t>
  </si>
  <si>
    <t>★【parfum-555/ﾐｽﾃﾞｨｵｰﾙ ﾍｱﾐｽﾄ】</t>
  </si>
  <si>
    <t>『2F』『★』【A-2-4】【ディオール】ヘアミスト ミス ディオール ヘア ミスト ■JAN: 3348901255820 ◆・宅配小・プチ小・板大・割物注意・ラピ袋M</t>
  </si>
  <si>
    <t>https://item.rakuten.co.jp/cavatina/parfum-555</t>
  </si>
  <si>
    <t>parfum-555:Haruna.Oお届け方法： 宅配便お支払い方法: PayPay残高払いコメント: お届け時間: お届け日: ギフト包装種類: 着荷種別: 通常</t>
  </si>
  <si>
    <t>月93</t>
  </si>
  <si>
    <t>cosme-043-0-010</t>
  </si>
  <si>
    <t>★【cosme-043/010/Dior ｱﾃﾞｨｸﾄﾏｷｼﾏｲｻﾞｰ】</t>
  </si>
  <si>
    <t>『2F』『★』【AK-5-1】【ディオール】口紅 アディクト リップ マキシマイザー ■カラー:010/ホロピンク ■JAN:3348901443159 ◆・封筒3・板小・ラピ袋S</t>
  </si>
  <si>
    <t>:NAOお届け方法： 宅配便お支払い方法: クレジットカード決済コメント: お届け時間: お届け日: 2022/03/11ギフト包装種類: 着荷種別: 通常</t>
  </si>
  <si>
    <t>月94</t>
  </si>
  <si>
    <t>baccarat-138:Hole In One 2022.3.4;ACE 2022.3.4お届け方法： 宅配便お支払い方法: PayPayあと払いコメント: ホールインワン記念のプレゼントになります。 /  / どうぞよろしくお願い致します。お届け時間: お届け日: 2022/03/09ギフト包装種類: 着荷種別: 通常</t>
  </si>
  <si>
    <t>月95</t>
  </si>
  <si>
    <t>parker-010-0-svct</t>
  </si>
  <si>
    <t>●【parker-010-0-svct】</t>
  </si>
  <si>
    <t>『2F』【I-5-5】【パーカー】ボールペン IM ボールペン■カラー：シルバーCT ◆・宅配小・プチ小・ラピ袋M</t>
  </si>
  <si>
    <t>https://item.rakuten.co.jp/cavatina/parker-010/</t>
  </si>
  <si>
    <t>●【筆記体】お届け方法： 宅配便お支払い方法: PayPay残高払いコメント: 名入れ Hirono でお願いします。お届け時間: お届け日: ギフト包装種類: 着荷種別: 通常</t>
  </si>
  <si>
    <t>月96</t>
  </si>
  <si>
    <t>cosme-150</t>
  </si>
  <si>
    <t>●cosme-150/イソップ ハンドクリーム 75ml】</t>
  </si>
  <si>
    <t>『★』【イソップ】ハンドクリーム レスレクション ハンドバーム 75ml JAN:9319944013047/9319944030686 ◆・封筒3・ラピ袋M</t>
  </si>
  <si>
    <t>https://item.rakuten.co.jp/cavatina/cosme-150</t>
  </si>
  <si>
    <t>cosme-150:hiromiお届け方法： 宅配便お支払い方法: ゆっくり払いコメント: お届け時間: お届け日: 2022/03/09ギフト包装種類: 着荷種別: 通常</t>
  </si>
  <si>
    <t>月97</t>
  </si>
  <si>
    <t>●【マーク：流れ星】●【巾着(大)付き】Narumiお届け方法： 宅配便お支払い方法: ゆっくり払いコメント: お届け時間: お届け日: ギフト包装種類: 着荷種別: 通常</t>
  </si>
  <si>
    <t>マーク⇒【流れ星】</t>
  </si>
  <si>
    <t>月98</t>
  </si>
  <si>
    <t>par-001-0-rd-gt</t>
  </si>
  <si>
    <t>☆【par-001-rdgt/ペン箱】</t>
  </si>
  <si>
    <t>『2F』【I-5-4】【パーカー】ボールペン ソネット オリジナル マルチファンクション 複合ポールペン■カラー：レッドGT ◆・宅配小・プチ小・ラピ袋M</t>
  </si>
  <si>
    <t>https://item.rakuten.co.jp/cavatina/par-001</t>
  </si>
  <si>
    <t>【のし】：★【御祝】【名入れ】：Ren Shimomuraお届け方法： 宅配便お支払い方法: クレジットカード決済コメント: お届け時間: お届け日: ギフト包装種類: 着荷種別: 通常</t>
  </si>
  <si>
    <t>月99</t>
  </si>
  <si>
    <t>●【マーク：スマイル】●【巾着(大)付き】:Tomomiお届け方法： 宅配便お支払い方法: PayPay残高払いコメント: お届け時間: お届け日: 2022/03/15ギフト包装種類: 着荷種別: 通常</t>
  </si>
  <si>
    <t>月100</t>
  </si>
  <si>
    <t>hana-075-0-whbl</t>
  </si>
  <si>
    <t>★【hana-075/whbl/花時計 ｽｸｴｱ】</t>
  </si>
  <si>
    <t>【アリスフラワー】花時計スクエア ■カラー：ホワイト/ブルー∵ ■JAN: 4573152426296 ◆・G箱・緩衝材・天地無用・取扱注意</t>
  </si>
  <si>
    <t>●【木枠に名入れする/1100円】●【フォント：明朝体】hana-075-0-whbl:長い間お仕事お疲れ様でした;2022.3 Ｍiho.Fumi.Takaお届け方法： 宅配便お支払い方法: PayPay残高払いコメント: お届け時間: 09:00-12:00お届け日: 2022/03/09ギフト包装種類: 着荷種別: 通常</t>
  </si>
  <si>
    <t>フォント⇒【明朝体】</t>
  </si>
  <si>
    <t>月101</t>
  </si>
  <si>
    <t>●【マーク：スマイル】●【巾着(大)付き】tomomiお届け方法： 宅配便お支払い方法: クレジットカード決済コメント: お届け時間: お届け日: ギフト包装種類: 着荷種別: 通常</t>
  </si>
  <si>
    <t>月102</t>
  </si>
  <si>
    <t>cosme-188-0-468</t>
  </si>
  <si>
    <t>★【cosme-188/468/ﾙｰｼﾞｭｺｺ】</t>
  </si>
  <si>
    <t>『2F』『★』【AK-3-5】【シャネル】口紅 ルージュ ココ ■カラー：468/ミシェル ■JAN:3145891724684 ◆・封筒3・板小・ラピ袋S</t>
  </si>
  <si>
    <t>https://item.rakuten.co.jp/cavatina/cosme-188</t>
  </si>
  <si>
    <t>cosme-188-0-468:Michelleお届け方法： 宅配便お支払い方法: PayPay残高払いコメント: お届け時間: 09:00-12:00お届け日: 2022/03/08ギフト包装種類: 着荷種別: 通常</t>
  </si>
  <si>
    <t>月103</t>
  </si>
  <si>
    <t>cosme-173-0-70</t>
  </si>
  <si>
    <t>★【cosme-173/70/ｼｬﾈﾙ ｺｺ ﾌﾗｯｼｭ】</t>
  </si>
  <si>
    <t>『2F』『★』【AK-2-5】【シャネル】口紅 ルージュ ココ フラッシュ ■カラー：70/アティテュード ■JAN:3145891740707 ◆・封筒3・板小・ラピ袋S</t>
  </si>
  <si>
    <t>●【マーク：キスマーク】cosme-173-0-70:Rumiお届け方法： 宅配便お支払い方法: PayPayあと払いコメント: 誕生日プレゼントとして送りたいので、請求書等は入れないで欲しいです。お届け時間: お届け日: ギフト包装種類: 着荷種別: 通常</t>
  </si>
  <si>
    <t>月104</t>
  </si>
  <si>
    <t>hana-070-0-bell</t>
  </si>
  <si>
    <t>★【hana-070/bell/美女と野獣/ﾊｰﾊﾞﾘｳﾑﾍﾟﾝ】</t>
  </si>
  <si>
    <t>【アリスフラワー】ハーバリウム ボールペン ■カラー：美女と野獣∵ ■JAN: 4573152425893 ◆・封筒3</t>
  </si>
  <si>
    <t>hana-070-0-bell:Akikaお届け方法： 宅配便お支払い方法: クレジットカード決済コメント: お届け時間: 14:00-16:00お届け日: 2022/03/08ギフト包装種類: 着荷種別: 通常</t>
  </si>
  <si>
    <t>月105</t>
  </si>
  <si>
    <t>hana-070-0-slb</t>
  </si>
  <si>
    <t>★【hana-070/slb/眠れる森の美女/ﾊｰﾊﾞﾘｳﾑﾍﾟﾝ】</t>
  </si>
  <si>
    <t>【アリスフラワー】ハーバリウム ボールペン ■カラー：眠れる森の美女∵ ■JAN: 4573152425909 ◆・封筒3</t>
  </si>
  <si>
    <t>hana-070-0-slb:Maikaお届け方法： 宅配便お支払い方法: クレジットカード決済コメント: お届け時間: 14:00-16:00お届け日: 2022/03/08ギフト包装種類: 着荷種別: 通常</t>
  </si>
  <si>
    <t>月106</t>
  </si>
  <si>
    <t>hana-070-0-lmd</t>
  </si>
  <si>
    <t>★【hana-070/lmd/ﾘﾄﾙﾏｰﾒｲﾄﾞ/ﾊｰﾊﾞﾘｳﾑﾍﾟﾝ】</t>
  </si>
  <si>
    <t>【アリスフラワー】ハーバリウム ボールペン ■カラー：リトルマーメイド∵ ■JAN: 4573152425879 ◆・封筒3</t>
  </si>
  <si>
    <t>hana-070-0-lmd:Kotonaお届け方法： 宅配便お支払い方法: クレジットカード決済コメント: お届け時間: 14:00-16:00お届け日: 2022/03/08ギフト包装種類: 着荷種別: 通常</t>
  </si>
  <si>
    <t>月107</t>
  </si>
  <si>
    <t>hana-070-0-rap:Minaお届け方法： 宅配便お支払い方法: クレジットカード決済コメント: お届け時間: 14:00-16:00お届け日: 2022/03/08ギフト包装種類: 着荷種別: 通常</t>
  </si>
  <si>
    <t>月108</t>
  </si>
  <si>
    <t>●【マーク：クローバー】●【巾着(大)付き】misakoお届け方法： 宅配便お支払い方法: PayPay残高払いコメント: お届け時間: お届け日: 2022/03/08ギフト包装種類: 着荷種別: 通常</t>
  </si>
  <si>
    <t>月109</t>
  </si>
  <si>
    <t>swarovski-019-0-5224383</t>
  </si>
  <si>
    <t>●【swarovski-019/5224383/ﾌﾞﾗｯｸ】</t>
  </si>
  <si>
    <t>『2F』【F-5-3】【スワロフスキー】ボールペン CRYSTALLINE ■カラー：5224383/ブラック ◆・封筒3・ラピ袋M</t>
  </si>
  <si>
    <t>https://item.rakuten.co.jp/cavatina/swarovski-019</t>
  </si>
  <si>
    <t>swarovski-019-0-5224383:Miho.Tお届け方法： 宅配便お支払い方法: PayPay残高払いコメント: お届け時間: お届け日: 2022/03/08ギフト包装種類: 着荷種別: 通常</t>
  </si>
  <si>
    <t>内容⇒【する/1100円】*----------------------------------------*swarovski-019-0-5224383:Miho.Tお届け方法： 宅配便お支払い方法: PayPay残高払いコメント: お届け時間: 19:00-21:00お届け日: 2022/03/08ギフト包装種類: 着荷種別: 通常】</t>
  </si>
  <si>
    <t>月110</t>
  </si>
  <si>
    <t>jillstuart-024-0-01:みほお届け方法： 宅配便お支払い方法: PayPay残高払いコメント: お届け時間: お届け日: 2022/03/14ギフト包装種類: 着荷種別: 通常</t>
  </si>
  <si>
    <t>月111</t>
  </si>
  <si>
    <t>2022.  Y.Andoお届け方法： 宅配便お支払い方法: PayPay残高払いコメント: お届け時間: お届け日: ギフト包装種類: 着荷種別: 通常</t>
  </si>
  <si>
    <t>月112</t>
  </si>
  <si>
    <t>●【巾着(大)付き】:Airiお届け方法： 宅配便お支払い方法: PayPay残高払いコメント: お届け時間: お届け日: ギフト包装種類: 着荷種別: 通常</t>
  </si>
  <si>
    <t>月113</t>
  </si>
  <si>
    <t>●【巾着(大)付き】:Kaedeお届け方法： 宅配便お支払い方法: クレジットカード決済コメント: お届け時間: 09:00-12:00お届け日: 2022/03/09ギフト包装種類: 着荷種別: 通常</t>
  </si>
  <si>
    <t>月114</t>
  </si>
  <si>
    <t>caran-003</t>
  </si>
  <si>
    <t>●【caran-003】</t>
  </si>
  <si>
    <t>『2F』【I-4-4】【カランダッシュ】ボールペン 849 ブリュットロゼ NF0849-997 BRUT ROSE ◆・封筒3</t>
  </si>
  <si>
    <t>https://item.rakuten.co.jp/cavatina/caran-003</t>
  </si>
  <si>
    <t>caran-003:Ｍ．ＫＵＲＯＳＡＫＩお届け方法： 宅配便お支払い方法: PayPay残高払いコメント: お届け時間: お届け日: ギフト包装種類: 着荷種別: 通常</t>
  </si>
  <si>
    <t>月115</t>
  </si>
  <si>
    <t>●【シャネル包装紙ラッピング済】cosme-034:shinoお届け方法： 宅配便お支払い方法: クレジットカード決済コメント: お届け時間: お届け日: ギフト包装種類: 着荷種別: 通常</t>
  </si>
  <si>
    <t>月116</t>
  </si>
  <si>
    <t>●【マーク：スマイル】●【巾着(大)付き】TOMOお届け方法： 宅配便お支払い方法: PayPay残高払いコメント: お届け時間: お届け日: ギフト包装種類: 着荷種別: 通常</t>
  </si>
  <si>
    <t>月117</t>
  </si>
  <si>
    <t>hana-075-0-whpk</t>
  </si>
  <si>
    <t>★【hana-075/whpk/花時計 ｽｸｴｱ】</t>
  </si>
  <si>
    <t>【アリスフラワー】花時計スクエア ■カラー：ホワイト/ピンク∵ ■JAN: 4573152426272 ◆・G箱・緩衝材・天地無用・取扱注意</t>
  </si>
  <si>
    <t>●【木枠に名入れする/1100円】●【フォント：筆記体】上段⇒【Happy Wedding】下段⇒【Eri(ハートマーク)Shoichi 2022/1/23】hana-075-0-whpk:Happy Wedding;Eri&amp;#9825;Shoichi 2022/1/23お届け方法： 宅配便お支払い方法: PayPay残高払いコメント: お届け時間: お届け日: 2022/03/11ギフト包装種類: 着荷種別: 通常</t>
  </si>
  <si>
    <t>フォント⇒【筆記体】</t>
  </si>
  <si>
    <t>内容⇒【ハートマーク】</t>
  </si>
  <si>
    <t>月118</t>
  </si>
  <si>
    <t>cosme-172-0-80</t>
  </si>
  <si>
    <t>★【cosme-172/80/ｳﾞｫﾘｭﾌﾟﾃｼｬｲﾝ】</t>
  </si>
  <si>
    <t>『2F』『★』【AK-1-3】【YSL】口紅 ルージュ ヴォリュプテ シャイン ■カラー:80/チリチュニック ■JAN:3614272333222 ◆・封筒3・板小・ラピ袋S</t>
  </si>
  <si>
    <t>cosme-172-0-80:Sakuraお届け方法： 宅配便お支払い方法: PayPay残高払いコメント: お届け時間: 14:00-16:00お届け日: 2022/03/08ギフト包装種類: 着荷種別: 通常</t>
  </si>
  <si>
    <t>月119</t>
  </si>
  <si>
    <t>tsurumi-120-0-tate</t>
  </si>
  <si>
    <t>★【tsurumi-120-0-tate】</t>
  </si>
  <si>
    <t>【鶴三工房】木札 ■種類:縦(たて)型 ■JAN: 4573250067995 ◆・封筒3</t>
  </si>
  <si>
    <t>https://item.rakuten.co.jp/cavatina/tsurumi-120</t>
  </si>
  <si>
    <t>●【縦（たて）型】●【レーザー名入れ】●【端午節句（しょうぶ）】●【希望する/無料】tsurumi-120-0-tate:結人;令和三年八月二十五日　生お届け方法： 宅配便お支払い方法: クレジットカード決済コメント: お届け時間: 14:00-16:00お届け日: ギフト包装種類: 着荷種別: 通常</t>
  </si>
  <si>
    <t>月120</t>
  </si>
  <si>
    <t>●【メッセージ/Thank　you】Masaru  Oonishiお届け方法： 宅配便お支払い方法: PayPay残高払いコメント: お世話になった方（男性）へ退職祝いになります。 /  / 名前のローマ字の字体はどのような感じになりますか?  / またラッピングはどのような感じですか?お届け時間: お届け日: 2022/03/08ギフト包装種類: 着荷種別: 通常</t>
  </si>
  <si>
    <t>月121</t>
  </si>
  <si>
    <t>●【巾着(大)付き】:ayumiお届け方法： 宅配便お支払い方法: クレジットカード決済コメント: お届け時間: お届け日: 2022/03/15ギフト包装種類: 着荷種別: 通常</t>
  </si>
  <si>
    <t>月122</t>
  </si>
  <si>
    <t>●【巾着(大)付き】:Mizukiお届け方法： 宅配便お支払い方法: PayPay残高払いコメント: お届け時間: お届け日: ギフト包装種類: 着荷種別: 通常</t>
  </si>
  <si>
    <t>月123</t>
  </si>
  <si>
    <t>●【マーク：肉球】●【シャネル包装紙ラッピング済】cosme-023:emiお届け方法： 宅配便お支払い方法: クレジットカード決済コメント: お届け時間: 09:00-12:00お届け日: 2022/03/10ギフト包装種類: 着荷種別: 通常</t>
  </si>
  <si>
    <t>月124</t>
  </si>
  <si>
    <t>4c-187</t>
  </si>
  <si>
    <t>★【4c-187/ｶﾅﾙ BOXプリント】</t>
  </si>
  <si>
    <t>『2F』『★』【I-1-3】【カナル4℃】ブレスレット ハート ピンクゴールド 151414131003 ◆・宅配小・プチ小</t>
  </si>
  <si>
    <t>https://item.rakuten.co.jp/cavatina/4c-187</t>
  </si>
  <si>
    <t>4c-187:Yuiお届け方法： 宅配便お支払い方法: クレジットカード決済コメント: お届け時間: お届け日: ギフト包装種類: 着荷種別: 通常</t>
  </si>
  <si>
    <t>月125</t>
  </si>
  <si>
    <t>●【マーク：バラ】cosme-172-0-83:Kayaお届け方法： 宅配便お支払い方法: クレジットカード決済コメント: お届け時間: お届け日: ギフト包装種類: 着荷種別: 通常</t>
  </si>
  <si>
    <t>月126</t>
  </si>
  <si>
    <t>baccarat-165</t>
  </si>
  <si>
    <t>●【baccarat-165/2客】</t>
    <rPh sb="16" eb="17">
      <t>キャク</t>
    </rPh>
    <phoneticPr fontId="6"/>
  </si>
  <si>
    <t>『D-03』『★』【バカラ】グラスジャパン クリスタ ペア 2814891</t>
  </si>
  <si>
    <t>https://item.rakuten.co.jp/cavatina/baccarat-165/</t>
  </si>
  <si>
    <t>●【名入れする/2200円】1点目⇒【~25th.T&amp;M~】2点目⇒【~25th.T&amp;M~】baccarat-165:~25th.T&amp;M~【のし】：★【御祝】【名入れ】：祝銀婚式 子供一同お届け方法： 宅配便お支払い方法: クレジットカード決済コメント: 1っ目の刻印は、~25th.T&amp;M~ / 2っ目の刻印は、~Forever~ / でお願いします。お届け時間: 14:00-16:00お届け日: 2022/03/08ギフト包装種類: 着荷種別: 通常</t>
  </si>
  <si>
    <t>月127</t>
  </si>
  <si>
    <t>●【マーク：ハート】●【巾着(大)付き】:Nozomiお届け方法： 宅配便お支払い方法: クレジットカード決済コメント: お届け時間: お届け日: ギフト包装種類: 着荷種別: 通常</t>
  </si>
  <si>
    <t>月128</t>
  </si>
  <si>
    <t>●【マーク：流れ星】●【巾着(大)付き】Erikaお届け方法： 宅配便お支払い方法: PayPay残高払いコメント: お届け時間: お届け日: ギフト包装種類: 着荷種別: 通常</t>
  </si>
  <si>
    <t>月129</t>
  </si>
  <si>
    <t>●【マーク：バラ】●【巾着(大)付き】:Manaお届け方法： 宅配便お支払い方法: PayPay残高払いコメント: お届け時間: お届け日: ギフト包装種類: 着荷種別: 通常</t>
  </si>
  <si>
    <t>月130</t>
  </si>
  <si>
    <t>hana-075-0-whrd</t>
  </si>
  <si>
    <t>★【hana-075/whrd/花時計 ｽｸｴｱ】</t>
  </si>
  <si>
    <t>【アリスフラワー】花時計スクエア ■カラー：ホワイト/レッド∵ ■JAN: 4573152426265 ◆・G箱・緩衝材・天地無用・取扱注意</t>
  </si>
  <si>
    <t>●【木枠に名入れする/1100円】●【フォント：筆記体】hana-075-0-whrd:1st Anniversary;Fumiya &amp; Hitomiお届け方法： 宅配便お支払い方法: PayPay残高払いコメント: お届け時間: お届け日: ギフト包装種類: 着荷種別: 通常</t>
  </si>
  <si>
    <t>月131</t>
  </si>
  <si>
    <t>●【巾着(大)付き】:Nozomiお届け方法： 宅配便お支払い方法: PayPay残高払いコメント: お届け時間: お届け日: ギフト包装種類: 着荷種別: 通常</t>
  </si>
  <si>
    <t>月132</t>
  </si>
  <si>
    <t>●【巾着(大)付き】:Arisaお届け方法： 宅配便お支払い方法: PayPay残高払いコメント: 名入れがどんな感じになるかの写真付きのメールを送ってください。お届け時間: お届け日: 2022/03/10ギフト包装種類: 着荷種別: 通常</t>
  </si>
  <si>
    <t>月133</t>
  </si>
  <si>
    <t>●【マーク：クローバー】●【巾着(大)付き】:Aiお届け方法： 宅配便お支払い方法: クレジットカード決済コメント: お届け時間: お届け日: 2022/03/14ギフト包装種類: 着荷種別: 通常</t>
  </si>
  <si>
    <t>月134</t>
  </si>
  <si>
    <t>●【シャネル包装紙ラッピング済】cosme-023:Miwakoお届け方法： 宅配便お支払い方法: クレジットカード決済コメント: お届け時間: 12:00-14:00お届け日: 2022/03/09ギフト包装種類: 着荷種別: 通常</t>
  </si>
  <si>
    <t>月135-1</t>
  </si>
  <si>
    <t>●【巾着(大)付き】●【巾着(大)付き】ChisatoChiakiお届け方法： 宅配便お支払い方法: PayPay残高払いコメント: お届け時間: お届け日: 2022/03/08ギフト包装種類: 着荷種別: 通常</t>
  </si>
  <si>
    <t>月135-2</t>
  </si>
  <si>
    <t>月136</t>
  </si>
  <si>
    <t>価格のわかるものをいれないでください。・名入れ有料(2200円)で ：即日配送不可・2～3営業日の出荷になります/代引き不可・1点目の名入れ内容(20文字以内) ：Together Forever・2点目の名入れ内容(20文字以内) ：on our 15th Anniv.・熨斗の種類 ：・ラッピングを選択してください ：・バカラのショッパー(紙袋)を無料で ：・有料(1，100円)でボックスにプリント ：希望しない</t>
  </si>
  <si>
    <t>月137</t>
  </si>
  <si>
    <t>hana-070-0-cid</t>
  </si>
  <si>
    <t>★【hana-070/cid/シンデレラ/ﾊｰﾊﾞﾘｳﾑﾍﾟﾝ】</t>
  </si>
  <si>
    <t>【アリスフラワー】ハーバリウム ボールペン ■カラー：シンデレラ∵ ■JAN: 4573152425855 ◆・封筒3</t>
  </si>
  <si>
    <t>価格のわかるものをいれないでください。・名入れ1点につき有料(1100円)で ：即日配送不可・2～3営業日の出荷になります/代引き不可・名入れ内容を記載してください ：chiaki・ラッピングを選択してください ：・今だけ限定 ：・配送便 ：・ネコポス配送の場合、代金引換不可・到着日指定不可・即日配送適応外(1～2日かかります)となります。 ：</t>
  </si>
  <si>
    <t>月138</t>
  </si>
  <si>
    <t>価格のわかるものをいれないでください。・名入れ1点につき有料(1100円)で ：即日配送不可・2～3営業日の出荷になります/代引き不可・名入れ内容を記載してください ：Ayaka.T・ラッピングを選択してください ：・今だけ限定 ：・配送便 ：・ネコポス配送の場合、代金引換不可・到着日指定不可・即日配送適応外(1～2日かかります)となります。 ：</t>
  </si>
  <si>
    <t>月139</t>
  </si>
  <si>
    <t>hana-071-0-cidbl</t>
  </si>
  <si>
    <t>★【hana-071/シンデレラ/花時計】</t>
  </si>
  <si>
    <t>【アリスフラワー】花時計 プリンセスシリーズ ■カラー：シンデレラ∵ ■JAN: 4573152424995 ◆・SS箱・緩衝材・天地無用・割物注意</t>
  </si>
  <si>
    <t>https://item.rakuten.co.jp/cavatina/hana-071</t>
  </si>
  <si>
    <t>価格のわかるものをいれないでください。・名入れ1点につき有料(1100円)で ：即日配送不可・2～3営業日の出荷になります/代引き不可・フォントをお選びください ：●【筆記体】※半角英数字のみの対応となります・メッセージの内容を半角50文字以内で入力してください。 ：I love Ria.Aino  Thinking of you always・熨斗の種類 ：・この商品はラッピング不可 ：了承しました・メッセージカードを ：・ギフト袋を ：</t>
  </si>
  <si>
    <t>月140</t>
  </si>
  <si>
    <t>価格のわかるものをいれないでください。・名入れ1点につき有料(1100円)で ：即日配送不可・2～3営業日の出荷になります/代引き不可・名入れ内容を記載してください ：Yuko・ラッピングを選択してください ：・シャネルのショッパー(紙袋)を無料で ：(品切れにより休止中)</t>
  </si>
  <si>
    <t>月141-1</t>
  </si>
  <si>
    <t>内容⇒【AYA】内容⇒【AYAKA】価格のわかるものをいれないでください。・名入れ1点につき有料(1100円)で ：即日配送不可・2～3営業日の出荷になります/代引き不可・名入れ内容を記載してください(6文字) ：AYA・この商品は包装紙ラッピング済です ：●【シャネル包装紙ラッピング済】・シャネルのショッパー(紙袋)を無料で ：(品切れにより休止中)■オプション内容(【名入れ】【正規紙袋 無料】 シャネル ハンドクリーム コスメ シャネルコスメ ハンド クリーム ラ クレーム マン レディース 卵型 ネイルケア 50ml ミニサイズ CHANEL 正規品 ブランド 新品 新作 2022年 ギフト ホワイトデー お返し 2022)・名入れ1点につき有料(1100円)で ：即日配送不可・2～3営業日の出荷になります/代引き不可・名入れ内容を記載してください(6文字) ：AYAKA・この商品は包装紙ラッピング済です ：●【シャネル包装紙ラッピング済】・シャネルのショッパー(紙袋)を無料で ：(品切れにより休止中)</t>
  </si>
  <si>
    <t>月141-2</t>
  </si>
  <si>
    <t>月142</t>
  </si>
  <si>
    <t>価格のわかるものをいれないでください。・名入れ1点につき有料(1100円)で ：即日配送不可・2～3営業日の出荷になります/代引き不可・名入れ内容を記載してください ：Maho・マーク ：●【マーク:スマイル】・ラッピングを選択してください ：・巾着ポーチが無料でついてくる! ：●【巾着(小)付き】</t>
  </si>
  <si>
    <t>月143-1</t>
  </si>
  <si>
    <t>baccarat-1541点目⇒【keisuke&amp;kaori】2点目⇒【keisuke&amp;kaori】baccarat-1541点目⇒【yuki&amp;fumi】2点目⇒【yuki&amp;fumi】・名入れ有料(2200円)で ：即日配送不可・2～3営業日の出荷になります/代引き不可・1点目の名入れ内容(20文字以内) ：keisuke&amp;kaori・2点目の名入れ内容(20文字以内) ：keisuke&amp;kaori・熨斗の種類 ：★【記念品】・ラッピングを選択してください ：・バカラのショッパー(紙袋)を無料で ：・有料(1，100円)でボックスにプリント ：希望しない■オプション内容(【名入れ】 バカラ グラス 2022 限定 ペア セット ロックグラス タンブラー イヤータンブラー 食器 ガラス ティアラ 2客 新品 新作 ブランド ギフト プレゼント 敬老の日 プレゼント ホワイトデー お返し 2022)・名入れ有料(2200円)で ：即日配送不可・2～3営業日の出荷になります/代引き不可・1点目の名入れ内容(20文字以内) ：yuki&amp;fumi・2点目の名入れ内容(20文字以内) ：yuki&amp;fumi・熨斗の種類 ：★【記念品】・ラッピングを選択してください ：・バカラのショッパー(紙袋)を無料で ：・有料(1，100円)でボックスにプリント ：希望しない</t>
  </si>
  <si>
    <t>月143-2</t>
  </si>
  <si>
    <t>月144</t>
  </si>
  <si>
    <t>価格のわかるものをいれないでください。・名入れ1点につき有料(1100円)で ：即日配送不可・2～3営業日の出荷になります/代引き不可・名入れ内容を20文字以内でご入力ください ：Kensaku・熨斗の種類 ：★【御礼】・熨斗の名入れ ：●【名入れ希望(備考欄に記載)】・熨斗に入れる贈り主様のお名前をご記入ください ：GIS北関東一同・ラッピングを選択してください ：・バカラのショッパー(紙袋)を無料で ：・有料(1，100円)でボックスにプリント ：希望しない</t>
  </si>
  <si>
    <t>月145-1</t>
  </si>
  <si>
    <t>内容⇒【HINA】内容⇒【BUNNTA】・名入れ1点につき有料(1100円)で ：即日配送不可・2～3営業日の出荷になります/代引き不可・名入れ内容を記載してください ：HINA・ラッピングを選択してください ：・シャネルのショッパー(紙袋)を無料で ：(品切れにより休止中)■オプション内容(【名入れ】【正規紙袋 無料】 シャネル ヘアミスト チャンス オー タンドゥル 35ml フレグランス コスメ 香水 ヘア ミスト スプレー スプレイ メイク 化粧品 レディース 女性用 CHANEL 正規品 ブランド 新品 新作 2022年 ギフト プレゼント ホワイトデー お返し 2022)・名入れ1点につき有料(1100円)で ：即日配送不可・2～3営業日の出荷になります/代引き不可・名入れ内容を記載してください ：BUNNTA・ラッピングを選択してください ：・シャネルのショッパー(紙袋)を無料で ：(品切れにより休止中)</t>
  </si>
  <si>
    <t>月145-2</t>
  </si>
  <si>
    <t>月146</t>
  </si>
  <si>
    <t>価格のわかるものをいれないでください。・名入れ1点につき有料(1100円)で ：即日配送不可・2～3営業日の出荷になります/代引き不可・名入れ内容を記載してください(6文字) ：N.Rina・この商品は包装紙ラッピング済です ：●【シャネル包装紙ラッピング済】・シャネルのショッパー(紙袋)を無料で ：(品切れにより休止中)</t>
  </si>
  <si>
    <t>月147</t>
  </si>
  <si>
    <t>waterman-001-0-ivgt</t>
  </si>
  <si>
    <t>●【waterman-001-0-ivgt】</t>
  </si>
  <si>
    <t>『2F』【I-4-4】【ウォーターマン】ボールペンエキスパートエッセンシャル ■カラー:アイボリーGTBP ■JAN:選択肢追加 ◆・宅配小・プチ小・ラピ袋M</t>
  </si>
  <si>
    <t>https://item.rakuten.co.jp/cavatina/waterman-001/</t>
  </si>
  <si>
    <t>・ラッピングを選択してください ：・名入れ1点につき有料(1100円)で ：即日配送不可・2～3営業日の出荷になります/代引き不可・フォントをお選びください ：●【筆記体】※半角英数字のみの対応となります・名入れ内容(10文字まで)ご記入ください ：M.Yamakawa・熨斗の種類 ：</t>
  </si>
  <si>
    <t>月148</t>
  </si>
  <si>
    <t>梱包の中の商品が分からない様にお願い致します。価格のわかるものをいれないでください。・名入れ1点につき有料(1100円)で ：即日配送不可・2～3営業日の出荷になります/代引き不可・名入れ内容を記載してください ：Rumi・ラッピングを選択してください ：・シャネルのショッパー(紙袋)を無料で ：(品切れにより休止中)</t>
  </si>
  <si>
    <t>月149</t>
  </si>
  <si>
    <t>価格のわかるものをいれないでください。・名入れ有料(2200円)で ：即日配送不可・2～3営業日の出荷になります/代引き不可・1点目の名入れ内容(20文字以内) ：感謝を込めて　卸三課一同・2点目の名入れ内容(20文字以内) ：感謝を込めて　卸三課一同・熨斗の種類 ：・ラッピングを選択してください ：・バカラのショッパー(紙袋)を無料で ：・有料(1，100円)でボックスにプリント ：希望しない</t>
  </si>
  <si>
    <t>月150</t>
  </si>
  <si>
    <t>価格のわかるものをいれないでください。・ボックスプリントを ：即日配送不可・プリント文字を入力してください ：Miu・ラッピングを選択してください ：・4℃のショッパー(紙袋)を無料で ：</t>
  </si>
  <si>
    <t>月151-1</t>
  </si>
  <si>
    <t>内容⇒【Saki】内容⇒【Aika】内容⇒【Mizuki】・名入れ1点につき有料(1100円)で ：即日配送不可・2～3営業日の出荷になります/代引き不可・名入れ内容を記載してください ：Saki・マーク ：希望しない・ラッピングを選択してください ：・巾着ポーチが無料でついてくる! ：●【巾着(小)付き】■オプション内容(【名入れ】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：Aika・マーク ：希望しない・ラッピングを選択してください ：・巾着ポーチが無料でついてくる! ：●【巾着(小)付き】■オプション内容(【名入れ】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：Mizuki・マーク ：希望しない・ラッピングを選択してください ：・巾着ポーチが無料でついてくる! ：●【巾着(小)付き】</t>
  </si>
  <si>
    <t>月151-2</t>
  </si>
  <si>
    <t>月151-3</t>
  </si>
  <si>
    <t>月152</t>
  </si>
  <si>
    <t>lamy-008-0-mbk</t>
  </si>
  <si>
    <t>●【lamy-008/mbk】</t>
  </si>
  <si>
    <t>『2F』【I-4-6】【ラミー】シャーペン ラミーサファリ ※箱付き■カラー：ブラック ◆・封筒2・ラピ袋M</t>
  </si>
  <si>
    <t>・ラッピングを選択してください ：・名入れ1点につき有料(1100円)で ：即日配送不可・2～3営業日の出荷になります/代引き不可・名入れ内容(10文字まで)ご記入ください ：O.Haruki・フォントをお選びください ：●【筆記体】※半角英数字のみの対応となります・配送便 ：・ネコポス配送の場合は即日配送適応外となります。 ：</t>
  </si>
  <si>
    <t>内容⇒【・ラッピングを選択してください ：ラッピングしない・名入れ1点につき有料(1100円)で ：】</t>
  </si>
  <si>
    <t>月153</t>
  </si>
  <si>
    <t>お届け日を、出来ましたら3/9(水)にお願いします。無理でしたら、3/10(木)でお願いします。価格のわかるものをいれないでください。にお願いします。無理でしたら、3/10(木)でお願いします。価格のわかるものをいれないでください。■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：Rei・マーク ：●【マーク:クローバー】・ラッピングを選択してください ：・巾着ポーチが無料でついてくる! ：●【巾着(小)付き】</t>
  </si>
  <si>
    <t>内容⇒【お届け日を、出来ましたら3/9(水)にお願いします。無理でしたら、3/10(木)でお願いします。価格のわかるものをいれないでください。にお願いします。無理でしたら、3/10(木)でお願いします。価格のわかるものをいれないでください。■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t>
  </si>
  <si>
    <t>月154-1</t>
  </si>
  <si>
    <t>内容⇒【Kana】内容⇒【Yusuke】内容⇒【Toshiaki】価格のわかるものをいれないでください。・名入れ1点につき有料(1100円)で ：即日配送不可・2～3営業日の出荷になります/代引き不可・名入れ内容を記載してください ：Kana・マーク ：希望しない・ラッピングを選択してください ：・巾着ポーチが無料でついてくる! ：●【巾着(小)付き】■オプション内容(【名入れ】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：Yusuke・マーク ：希望しない・ラッピングを選択してください ：・巾着ポーチが無料でついてくる! ：●【巾着(小)付き】■オプション内容(【名入れ】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：Toshiaki・マーク ：希望しない・ラッピングを選択してください ：・巾着ポーチが無料でついてくる! ：●【巾着(小)付き】</t>
  </si>
  <si>
    <t>月154-2</t>
  </si>
  <si>
    <t>月154-3</t>
  </si>
  <si>
    <t>月155</t>
  </si>
  <si>
    <t>・名入れ1点につき有料(1100円)で ：即日配送不可・2～3営業日の出荷になります/代引き不可・名入れ内容(15文字まで)ご記入ください ：misato・マーク ：●【マーク:ハート】・ラッピングを選択してください ：・巾着ポーチが無料でついてくる! ：●【巾着(大)付き】</t>
  </si>
  <si>
    <t>月156</t>
  </si>
  <si>
    <t>hana-075-0-brbl</t>
  </si>
  <si>
    <t>★【hana-075/brbl/花時計 ｽｸｴｱ】</t>
  </si>
  <si>
    <t>【アリスフラワー】花時計スクエア ■カラー：ブラウン/ミストブルー∵ ■JAN: 4573152426340 ◆・G箱・緩衝材・天地無用・取扱注意</t>
  </si>
  <si>
    <t>価格のわかるものをいれないでください。・名入れ 1点につき有料(1100円)で ：●【ガラスに名入れする/1100円】・フォントの選択 ：●【フォント:筆記体】・1行目/上段名入れ内容を半角22文字以内で記入してください ：HappyWedding2022.03.26・2行目/下段名入れ内容を半角22文字以内で記入してください ：Naoki × Manami・紙袋を無料で ：・ラッピングを選択してください ：・メッセージカードを ：希望しない・熨斗の種類 ：</t>
  </si>
  <si>
    <t>内容⇒【価格のわかるものをいれないでください。・名入れ 1点につき有料(1100円)で ：】</t>
  </si>
  <si>
    <t>月157</t>
  </si>
  <si>
    <t>価格のわかるものをいれないでください。・名入れ1点につき有料(1100円)で ：即日配送不可・2～3営業日の出荷になります/代引き不可・名入れ内容を記載してください ：yukino・マーク ：●【マーク:ハート】・この商品は包装紙ラッピング済です ：●【シャネル包装紙ラッピング済】・シャネルのショッパー(紙袋)を無料で ：(品切れにより休止中)・配送便 ：</t>
  </si>
  <si>
    <t>月158</t>
  </si>
  <si>
    <t>・名入れ1点につき有料(1100円)で ：即日配送不可・2～3営業日の出荷になります/代引き不可・名入れ内容を記載してください ：mizuki・マーク ：希望しない・ディオールのショッパー(紙袋)を無料で ：・ラッピングを選択してください ：・配送便 ：・ネコポス配送の場合は即日配送適応外となります。 ：</t>
  </si>
  <si>
    <t>月159</t>
  </si>
  <si>
    <t>cosme-171-0-05</t>
  </si>
  <si>
    <t>★【cosme-171/05/ﾃﾞﾘﾘｱｽｵﾚﾝｼﾞ/ﾌﾟﾗﾝﾌﾟｲﾝｶﾗｰ】</t>
  </si>
  <si>
    <t>『2F』『★』【AK-2-4】【YSL】口紅 ヴォリュプテ プランプインカラー ■カラー:5/デリリアスオレンジ ■JAN:3614272332980 ◆・封筒3・板小・ラピ袋S</t>
  </si>
  <si>
    <t>https://item.rakuten.co.jp/cavatina/cosme-171</t>
  </si>
  <si>
    <t>・名入れ1点につき有料(1100円)で ：即日配送不可・2～3営業日の出荷になります/代引き不可・名入れ内容を記載してください ：f.hayato・マーク ：●【マーク:リボン】・ラッピングを選択してください ：・イヴサンローランのショッパー(紙袋)を無料で ：・配送便 ：・ネコポス配送の場合は即日配送適応外となります。 ：</t>
  </si>
  <si>
    <t>マーク⇒【リボン】</t>
  </si>
  <si>
    <t>月160-1</t>
  </si>
  <si>
    <t>baccarat-153内容⇒【YOKO】●【ボックス/薔薇.】●【メッセージ/Thank you】baccarat-153内容⇒【SEIICHI】●【ボックス/薔薇.】●【メッセージ/Thank you】グラスの名前を表記を、筆記体にすることが可能でしたら、お願いいたします。難しい場合は、ブロック体でお願いいたします。価格のわかるものをいれないでください。・名入れ1点につき有料(1100円)で ：即日配送不可・2～3営業日の出荷になります/代引き不可・名入れ内容を20文字以内でご入力ください ：YOKO・熨斗の種類 ：★【御礼】・熨斗の名入れ ：【名入れ無し】・ラッピングを選択してください ：・バカラのショッパー(紙袋)を無料で ：・有料(1，100円)でボックスにプリント ：●【ボックス/薔薇.】・箱にメッセージプリント ：●【メッセージ/Thank you】■オプション内容(【名入れ】 バカラ グラス 2022 限定 ロックグラス タンブラー イヤータンブラー 食器 ガラス ティアラ 1客 新品 新作 ブランド ギフト プレゼント 敬老の日 プレゼント ホワイトデー お返し 2022)・名入れ1点につき有料(1100円)で ：即日配送不可・2～3営業日の出荷になります/代引き不可・名入れ内容を20文字以内でご入力ください ：SEIICHI・熨斗の種類 ：★【御礼】・熨斗の名入れ ：【名入れ無し】・ラッピングを選択してください ：・バカラのショッパー(紙袋)を無料で ：・有料(1，100円)でボックスにプリント ：●【ボックス/薔薇.】・箱にメッセージプリント ：●【メッセージ/Thank you】</t>
  </si>
  <si>
    <t>月160-2</t>
  </si>
  <si>
    <t>月161</t>
  </si>
  <si>
    <t>価格のわかるものをいれないでください。・名入れ有料(2200円)で ：即日配送不可・2～3営業日の出荷になります/代引き不可・1点目の名入れ内容(20文字以内) ：HIROYUKI・2点目の名入れ内容(20文字以内) ：HIROKO・熨斗の種類 ：・ラッピングを選択してください ：・バカラのショッパー(紙袋)を無料で ：・有料(1，100円)でボックスにプリント ：希望しない</t>
  </si>
  <si>
    <t>月162</t>
  </si>
  <si>
    <t>tiffany-018</t>
  </si>
  <si>
    <t>★【tiffany-018/ﾌﾞﾙｰﾎﾞｯｸｽﾏｸﾞ】</t>
  </si>
  <si>
    <t>『★』【ティファニー】マグカップ ブルー ボックス マグ セット 66885224 ∵ ◆・G箱・緩衝材・プチシート・割物注意</t>
  </si>
  <si>
    <t>https://item.rakuten.co.jp/cavatina/tiffany-018</t>
  </si>
  <si>
    <t>1点目1行目⇒【Y】1点目2行目⇒【20220320】2点目1行目⇒【H】2点目2行目⇒【20220320】友人の結婚式が北海道であります挙式前日に飛行機で北海道に行くため、細心の注意を払って飛行機に搭乗しますが、極力割れないような梱包は可能でしょうか価格のわかるものをいれないでください。・名入れ有料(2200円)で ：即日配送不可・2～3営業日の出荷になります/代引き不可・【1点目】名入れ内容をご入力ください(イニシャル1文字+日付8文字まで) ：Y 20220320・【2点目】名入れ内容をご入力ください(イニシャル1文字+日付8文字まで) ：H 20220320・ラッピングを選択してください ：・熨斗の種類 ：★【御結婚御祝】・熨斗の名入れ ：【名入れ無し】</t>
  </si>
  <si>
    <t>内容⇒【1点目1行目⇒【Y】1点目2行目⇒【20220320】2点目1行目⇒【H】2点目2行目⇒【20220320】友人の結婚式が北海道であります挙式前日に飛行機で北海道に行くため、細心の注意を払って飛行機に搭乗しますが、極力割れないような梱包は可能でしょうか価格のわかるものをいれないでください。・名入れ有料(2200円)で ：】</t>
  </si>
  <si>
    <t>月163-1</t>
  </si>
  <si>
    <t>内容⇒【Sakina】マーク⇒【バラ】内容⇒【Mone】マーク⇒【バラ】個別の包装をお願い致します。価格のわかるものをいれないでください。・名入れ1点につき有料(1100円)で ：即日配送不可・2～3営業日の出荷になります/代引き不可・名入れ内容を記載してください ：Sakina・マーク ：●【マーク:バラ】・ラッピングを選択してください ：・巾着ポーチが無料でついてくる! ：●【巾着(小)付き】■オプション内容(【名入れ】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2022)・名入れ1点につき有料(1100円)で ：即日配送不可・2～3営業日の出荷になります/代引き不可・名入れ内容を記載してください ：Mone・マーク ：●【マーク:バラ】・ラッピングを選択してください ：・巾着ポーチが無料でついてくる! ：●【巾着(小)付き】</t>
  </si>
  <si>
    <t>月163-2</t>
  </si>
  <si>
    <t>月164</t>
  </si>
  <si>
    <t>価格のわかるものをいれないでください。・名入れ1点につき有料(1100円)で ：即日配送不可・2～3営業日の出荷になります/代引き不可・名入れ内容を記載してください ：M.hina・この商品は包装紙ラッピング済です ：●【シャネル包装紙ラッピング済】・シャネルのショッパー(紙袋)を無料で ：(品切れにより休止中)・配送便 ：・ネコポス配送の場合は即日配送適応外となります。 ：</t>
  </si>
  <si>
    <t>月165</t>
  </si>
  <si>
    <t>受領後、受領者が3月末ころに、相手にプレゼントしますので、お知り置きを願います価格のわかるものをいれないでください。・名入れ1点につき有料(1100円)で ：即日配送不可・2～3営業日の出荷になります/代引き不可・名入れ内容を20文字以内でご入力ください ：祝御勇退　西村 芳貢 様　R4.3.31・熨斗の種類 ：★【記念品】・ラッピングを選択してください ：・バカラのショッパー(紙袋)を無料で ：・有料(1，100円)でボックスにプリント ：希望しない</t>
  </si>
  <si>
    <t>月166</t>
  </si>
  <si>
    <t>価格のわかるものをいれないでください。・名入れ1点につき有料(1100円)で ：即日配送不可・2～3営業日の出荷になります/代引き不可・名入れ内容(15文字まで)ご記入ください ：Miho・マーク ：●【マーク:ハート】・ラッピングを選択してください ：・巾着ポーチが無料でついてくる! ：●【巾着(大)付き】</t>
  </si>
  <si>
    <t>月167</t>
  </si>
  <si>
    <t>価格のわかるものをいれないでください。・この商品はラッピング済みです。 ：●。・名入れ1点につき有料(1100円)で ：即日配送不可・2～3営業日の出荷になります/代引き不可・名入れ内容を記載してください ：KAZUE.S・ディオールのショッパー(紙袋)を無料で ：</t>
  </si>
  <si>
    <t>月168</t>
  </si>
  <si>
    <t>・この商品はラッピング済みです。 ：●。・名入れ1点につき有料(1100円)で ：即日配送不可・2～3営業日の出荷になります/代引き不可・名入れ内容を記載してください ：Sayuka・ディオールのショッパー(紙袋)を無料で ：</t>
  </si>
  <si>
    <t>月169</t>
  </si>
  <si>
    <t>・名入れ1点につき有料(1100円)で ：即日配送不可・2～3営業日の出荷になります/代引き不可・名入れ内容を記載してください ：Naoto・マーク ：希望しない・ラッピングを選択してください ：・巾着ポーチが無料でついてくる! ：●【巾着(小)付き】</t>
  </si>
  <si>
    <t>月170</t>
  </si>
  <si>
    <t>価格のわかるものをいれないでください。・名入れ1点につき有料(1100円)で ：即日配送不可・2～3営業日の出荷になります/代引き不可・名入れ内容を記載してください ：kayoko・この商品は包装紙ラッピング済です ：●【シャネル包装紙ラッピング済】・シャネルのショッパー(紙袋)を無料で ：(品切れにより休止中)・配送便 ：・ネコポス配送の場合は即日配送適応外となります。 ：</t>
  </si>
  <si>
    <t>月171</t>
  </si>
  <si>
    <t>価格のわかるものをいれないでください。・名入れ有料(2200円)で ：即日配送不可・2～3営業日の出荷になります/代引き不可・名入れ内容1点目(15文字まで) ：Hiroshi・名入れ内容2点目(15文字まで) ：Miyuki・熨斗の種類 ：・ラッピングを選択してください ：・バカラのショッパー(紙袋)を無料で ：</t>
  </si>
  <si>
    <t>月172</t>
  </si>
  <si>
    <t>cosme-134</t>
  </si>
  <si>
    <t>☆【cosme-134/ｸﾚｰﾑﾏﾝ ﾘｯｼｭ】</t>
  </si>
  <si>
    <t>『2F』『★』【A-3-2】【シャネル】ハンドクリーム ●リッシュ● ラ クレームマン 50ml ■JAN:3145891403602 ◆・宅配小・ラピ袋M</t>
  </si>
  <si>
    <t>https://item.rakuten.co.jp/cavatina/cosme-134</t>
  </si>
  <si>
    <t>価格のわかるものをいれないでください。・名入れ1点につき有料(1100円)で ：即日配送不可・2～3営業日の出荷になります/代引き不可・名入れ内容を記載してください(6文字) ：Thanks・この商品は包装紙ラッピング済です ：●【シャネル包装紙ラッピング済】・シャネルのショッパー(紙袋)を無料で ：(品切れにより休止中)</t>
  </si>
  <si>
    <t>月173</t>
  </si>
  <si>
    <t>・この商品はラッピング済みです。 ：●。・名入れ1点につき有料(1100円)で ：即日配送不可・2～3営業日の出荷になります/代引き不可・名入れ内容を記載してください ：Chaco・ディオールのショッパー(紙袋)を無料で ：</t>
  </si>
  <si>
    <t>月174</t>
  </si>
  <si>
    <t>4c-286</t>
  </si>
  <si>
    <t>●【4c-286/ｶﾅﾙ BOXプリント】</t>
  </si>
  <si>
    <t>『2F』『★』【I-2-3】【カナル4℃】イヤリング キュービックジルコニア K10ピンクゴールド 151836153121 ◆・宅配小・プチ小</t>
  </si>
  <si>
    <t>https://item.rakuten.co.jp/cavatina/4c-286</t>
  </si>
  <si>
    <t>価格のわかるものをいれないでください。・ボックスプリントを ：即日配送不可・プリント文字を入力してください ：Yui・ラッピングを選択してください ：・4℃のショッパー(紙袋)を無料で ：</t>
  </si>
  <si>
    <t>月175-1</t>
  </si>
  <si>
    <t>hana-070-0-ursula内容⇒【A.jun】hana-070-0-cid内容⇒【K.miyuki】hana-070-0-slb内容⇒【M.masako】hana-070-0-elsa内容⇒【Mayumi】・名入れ1点につき有料(1100円)で ：即日配送不可・2～3営業日の出荷になります/代引き不可・名入れ内容を記載してください ：A.jun・ラッピングを選択してください ：・今だけ限定 ：・配送便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シンデレラ)・名入れ1点につき有料(1100円)で ：即日配送不可・2～3営業日の出荷になります/代引き不可・名入れ内容を記載してください ：K.miyuki・ラッピングを選択してください ：・今だけ限定 ：・配送便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眠れる森の美女)・名入れ1点につき有料(1100円)で ：即日配送不可・2～3営業日の出荷になります/代引き不可・名入れ内容を記載してください ：M.masako・ラッピングを選択してください ：・今だけ限定 ：・配送便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雪の女王)・名入れ1点につき有料(1100円)で ：即日配送不可・2～3営業日の出荷になります/代引き不可・名入れ内容を記載してください ：Mayumi・ラッピングを選択してください ：・今だけ限定 ：・配送便 ：・ネコポス配送の場合、代金引換不可・到着日指定不可・即日配送適応外(1～2日かかります)となります。 ：</t>
  </si>
  <si>
    <t>月175-2</t>
  </si>
  <si>
    <t>月175-3</t>
  </si>
  <si>
    <t>月175-4</t>
  </si>
  <si>
    <t>hana-070-0-ursula</t>
  </si>
  <si>
    <t>★【hana-070/ursula/海の魔女/ﾊｰﾊﾞﾘｳﾑﾍﾟﾝ】</t>
  </si>
  <si>
    <t>【アリスフラワー】ハーバリウム ボールペン ■カラー：海の魔女∵ ■JAN: 4573152426784 ◆・封筒3</t>
  </si>
  <si>
    <t>月176</t>
  </si>
  <si>
    <t>価格のわかるものをいれないでください。・この商品はラッピング済みです。 ：●。・名入れ1点につき有料(1100円)で ：即日配送不可・2～3営業日の出荷になります/代引き不可・名入れ内容を記載してください ：Tomoyo・ディオールのショッパー(紙袋)を無料で ：</t>
  </si>
  <si>
    <t>月177</t>
  </si>
  <si>
    <t>価格のわかるものをいれないでください。・名入れ1点につき有料(1100円)で ：即日配送不可・2～3営業日の出荷になります/代引き不可・名入れ内容を記載してください ：Rara・マーク ：●【マーク:ハート】・ラッピングを選択してください ：・巾着ポーチが無料でついてくる! ：●【巾着(小)付き】</t>
  </si>
  <si>
    <t>月178</t>
  </si>
  <si>
    <t>価格のわかるものをいれないでください。・名入れ1点につき有料(1100円)で ：即日配送不可・2～3営業日の出荷になります/代引き不可・名入れ内容を記載してください(6文字) ：MAYU・この商品は包装紙ラッピング済です ：●【シャネル包装紙ラッピング済】・シャネルのショッパー(紙袋)を無料で ：(品切れにより休止中)</t>
  </si>
  <si>
    <t>月179</t>
  </si>
  <si>
    <t>価格のわかるものをいれないでください。・バカラのショッパー(紙袋)を無料で ：・ラッピングを選択してください ：・熨斗の種類 ：★【御結婚御祝】・熨斗の名入れ ：【名入れ無し】・名入れ1点につき有料(1100円) ：・名入れ内容はこちらに入力してください ：1点目:Haruka 2点目:Moeto・有料(1，100円)でボックスにプリント ：希望しない</t>
  </si>
  <si>
    <t>月180</t>
  </si>
  <si>
    <t>bvlgari-158</t>
  </si>
  <si>
    <t>●【bvlgari-158】</t>
  </si>
  <si>
    <t>『2F』【I-3-5】【ブルガリ】長財布 ブルガリブルガリ ブラック 30412 BLACK ◆・H箱・緩衝材・プチ小・ラピ袋L</t>
  </si>
  <si>
    <t>https://item.rakuten.co.jp/cavatina/bvlgari-158</t>
  </si>
  <si>
    <t>価格のわかるものをいれないでください。・名入れ1点につき有料(1100円)で ：即日配送不可・2～3営業日の出荷になります/代引き不可・名入れ内容(10文字まで)ご記入ください ：Kazuho.J・ラッピングを選択してください ：・無料ケアキットが付いてくる ：●【ケアキットをGETする】</t>
  </si>
  <si>
    <t>月181</t>
  </si>
  <si>
    <t>価格のわかるものをいれないでください。・名入れ1点につき有料(1100円)で ：即日配送不可・2～3営業日の出荷になります/代引き不可・名入れ内容(15文字まで)ご記入ください ：Junko・マーク ：●【マーク:ハート】・ラッピングを選択してください ：・巾着ポーチが無料でついてくる! ：●【巾着(大)付き】</t>
  </si>
  <si>
    <t>月182</t>
  </si>
  <si>
    <t>価格のわかるものをいれないでください。・名入れ1点につき有料(1100円)で ：即日配送不可・2～3営業日の出荷になります/代引き不可・名入れ内容を20文字以内でご入力ください ：risa・熨斗の種類 ：★【御祝】・熨斗の名入れ ：【名入れ無し】・ラッピングを選択してください ：・バカラのショッパー(紙袋)を無料で ：・有料(1，100円)でボックスにプリント ：希望しない</t>
  </si>
  <si>
    <t>月183</t>
  </si>
  <si>
    <t>日時指定しておりますが、可能な限り早くお願い致します。価格のわかるものをいれないでください。・名入れ1点につき有料(1100円)で ：即日配送不可・2～3営業日の出荷になります/代引き不可・名入れ内容を20文字以内でご入力ください ：祝　古希　2022.3.15・熨斗の種類 ：・ラッピングを選択してください ：・バカラのショッパー(紙袋)を無料で ：・有料(1，100円)でボックスにプリント ：希望しない</t>
  </si>
  <si>
    <t>月184</t>
  </si>
  <si>
    <t>価格のわかるものをいれないでください。・名入れ1点につき有料(1100円)で ：即日配送不可・2～3営業日の出荷になります/代引き不可・名入れ内容を記載してください ：Erina・マーク ：●【マーク:ハイビスカス】・ラッピングを選択してください ：・イヴサンローランのショッパー(紙袋)を無料で ：・配送便 ：・ネコポス配送の場合は即日配送適応外となります。 ：</t>
  </si>
  <si>
    <t>マーク⇒【ハイビスカス】</t>
  </si>
  <si>
    <t>月185</t>
  </si>
  <si>
    <t>価格のわかるものをいれないでください。・名入れ1点につき有料(1100円)で ：即日配送不可・2～3営業日の出荷になります/代引き不可・名入れ内容(15文字まで)ご記入ください ：Macha・マーク ：●【マーク:鳥】・ラッピングを選択してください ：・巾着ポーチが無料でついてくる! ：●【巾着(大)付き】</t>
  </si>
  <si>
    <t>月186</t>
  </si>
  <si>
    <t>価格のわかるものをいれないでください。・名入れ1点につき有料(1100円)で ：即日配送不可・2～3営業日の出荷になります/代引き不可・名入れ内容を記載してください ：Hazuki・この商品は包装紙ラッピング済です ：●【シャネル包装紙ラッピング済】・シャネルのショッパー(紙袋)を無料で ：(品切れにより休止中)・配送便 ：・ネコポス配送の場合は即日配送適応外となります。 ：</t>
  </si>
  <si>
    <t>月187</t>
  </si>
  <si>
    <t>・名入れ1点につき有料(1100円)で ：即日配送不可・2～3営業日の出荷になります/代引き不可・名入れ内容(15文字まで)ご記入ください ：Megumi・マーク ：●【マーク:ハート】・ラッピングを選択してください ：・巾着ポーチが無料でついてくる! ：●【巾着(大)付き】</t>
  </si>
  <si>
    <t>月188</t>
  </si>
  <si>
    <t>価格のわかるものをいれないでください。・名入れ1点につき有料(1100円)で ：即日配送不可・2～3営業日の出荷になります/代引き不可・名入れ内容を記載してください ：AI・この商品は包装紙ラッピング済です ：●【シャネル包装紙ラッピング済】・シャネルのショッパー(紙袋)を無料で ：(品切れにより休止中)・配送便 ：・ネコポス配送の場合は即日配送適応外となります。 ：</t>
  </si>
  <si>
    <t>月189</t>
  </si>
  <si>
    <t>cosme-043-0-001</t>
  </si>
  <si>
    <t>★【cosme-043/001/Dior ｱﾃﾞｨｸﾄﾏｷｼﾏｲｻﾞｰ】</t>
  </si>
  <si>
    <t>『2F』『★』【AK-5-1】【ディオール】口紅 アディクト リップ マキシマイザー ■カラー:001/ピンク ■JAN:3348900806931/3348901431040/3348901507134 ◆・封筒3・板小・ラピ袋S</t>
  </si>
  <si>
    <t>・名入れ1点につき有料(1100円)で ：即日配送不可・2～3営業日の出荷になります/代引き不可・名入れ内容を記載してください ：みーたん・ラッピングを選択してください ：・ディオールのショッパー(紙袋)を無料で ：・配送便 ：・ネコポス配送の場合は即日配送適応外となります。 ：</t>
  </si>
  <si>
    <t>月190</t>
  </si>
  <si>
    <t>価格のわかるものをいれないでください。・名入れ1点につき有料(1100円)で ：即日配送不可・2～3営業日の出荷になります/代引き不可・名入れ内容を記載してください ：Mie・マーク ：希望しない・この商品は包装紙ラッピング済です ：●【シャネル包装紙ラッピング済】・シャネルのショッパー(紙袋)を無料で ：(品切れにより休止中)・配送便 ：</t>
  </si>
  <si>
    <t>月191</t>
  </si>
  <si>
    <t>名入れの出来を贈る前に見たいです。写真など同封してもらえますか?価格のわかるものをいれないでください。・名入れ1点につき有料(1100円)で ：即日配送不可・2～3営業日の出荷になります/代引き不可・名入れ内容を20文字以内でご入力ください ：TAKAHIRO.K・熨斗の種類 ：・ラッピングを選択してください ：・バカラのショッパー(紙袋)を無料で ：・有料(1，100円)でボックスにプリント ：希望しない</t>
  </si>
  <si>
    <t>内容⇒【名入れの出来を贈る前に見たいです。写真など同封してもらえますか?価格のわかるものをいれないでください。・名入れ1点につき有料(1100円)で ：】</t>
  </si>
  <si>
    <t>月192</t>
  </si>
  <si>
    <t>価格のわかるものをいれないでください。・名入れ1点につき有料(1100円)で ：即日配送不可・2～3営業日の出荷になります/代引き不可・名入れ内容を記載してください(6文字) ：Shiori・この商品は包装紙ラッピング済です ：●【シャネル包装紙ラッピング済】・シャネルのショッパー(紙袋)を無料で ：(品切れにより休止中)</t>
  </si>
  <si>
    <t>月193</t>
  </si>
  <si>
    <t>価格のわかるものをいれないでください。・名入れ有料(2200円)で ：即日配送不可・2～3営業日の出荷になります/代引き不可・1点目の名入れ内容(20文字以内) ：MISAKI・2点目の名入れ内容(20文字以内) ：KYOHEI・熨斗の種類 ：★【御結婚御祝】・熨斗の名入れ ：【名入れ無し】・ラッピングを選択してください ：・バカラのショッパー(紙袋)を無料で ：・有料(1，100円)でボックスにプリント ：希望しない</t>
  </si>
  <si>
    <t>月194</t>
  </si>
  <si>
    <t>annasui-236</t>
  </si>
  <si>
    <t>★【annasui-236/ﾊﾝﾄﾞﾐﾗｰ】</t>
  </si>
  <si>
    <t>『2F』『★』【D-2-3】【アナスイ】ミラー ハンドミラー ローズ ブラック ◆・封筒2・ラピ袋M</t>
  </si>
  <si>
    <t>https://item.rakuten.co.jp/cavatina/annasui-236</t>
  </si>
  <si>
    <t>価格のわかるものをいれないでください。・名入れ1点につき有料(1100円)で ：即日配送不可・2～3営業日の出荷になります/代引き不可・名入れ内容を記載してください ：YUA・ラッピングを選択してください ：・アナスイのショッパー(紙袋)を無料で ：・配送便 ：</t>
  </si>
  <si>
    <t>月195</t>
  </si>
  <si>
    <t>価格のわかるものをいれないでください。・名入れ1点につき有料(1100円)で ：即日配送不可・2～3営業日の出荷になります/代引き不可・名入れ内容を20文字以内でご入力ください ：30th anniversary・熨斗の種類 ：★【御祝】・熨斗の名入れ ：【名入れ無し】・ラッピングを選択してください ：・バカラのショッパー(紙袋)を無料で ：・有料(1，100円)でボックスにプリント ：希望しない</t>
  </si>
  <si>
    <t>月196</t>
  </si>
  <si>
    <t>価格のわかるものをいれないでください。・名入れ1点につき有料(1100円)で ：即日配送不可・2～3営業日の出荷になります/代引き不可・名入れ内容を記載してください ：Mizuho・この商品は包装紙ラッピング済です ：●【シャネル包装紙ラッピング済】・シャネルのショッパー(紙袋)を無料で ：(品切れにより休止中)・配送便 ：・ネコポス配送の場合は即日配送適応外となります。 ：</t>
  </si>
  <si>
    <t>月197</t>
  </si>
  <si>
    <t>★【baccarat-013/2客】</t>
  </si>
  <si>
    <t>『D-01』『★』【バカラ】2客 ベルーガハイボールグラス 2104389∵ ◆・G箱・緩衝材・プチシート・割物注意</t>
  </si>
  <si>
    <t>https://item.rakuten.co.jp/cavatina/baccarat-013</t>
  </si>
  <si>
    <t>・名入れ有料(2200円)で ：即日配送不可・2～3営業日の出荷になります/代引き不可・名入れ内容1点目(15文字まで) ：hidetaka (白ハートマーク) 1・名入れ内容2点目(15文字まで) ：kazumi (白ハートマーク) 1・熨斗の種類 ：★【記念品】・ラッピングを選択してください ：・バカラのショッパー(紙袋)を無料で ：</t>
  </si>
  <si>
    <t>内容⇒【・名入れ有料(2200円)で ：】</t>
  </si>
  <si>
    <t>月198</t>
  </si>
  <si>
    <t>価格のわかるものをいれないでください。・名入れ1点につき有料(1100円)で ：即日配送不可・2～3営業日の出荷になります/代引き不可・名入れ内容を20文字以内でご入力ください ：Takashima・熨斗の種類 ：・ラッピングを選択してください ：・バカラのショッパー(紙袋)を無料で ：・有料(1，100円)でボックスにプリント ：希望しない</t>
  </si>
  <si>
    <t>月199</t>
  </si>
  <si>
    <t>価格のわかるものをいれないでください。・名入れ1点につき有料(1100円)で ：即日配送不可・2～3営業日の出荷になります/代引き不可・名入れ内容を記載してください ：Syuka・マーク ：●【マーク:バラ】・ラッピングを選択してください ：・巾着ポーチが無料でついてくる! ：●【巾着(小)付き】</t>
  </si>
  <si>
    <t>月200</t>
  </si>
  <si>
    <t>hana-070-0-slb2022-03-16(水)　Hiroko[■熨斗(のし)のご希望は、下記へ詳細をご記入下さい(対象商品のみ)。:]【水引の下(連名1)】：【連名2】：【連名3】：</t>
  </si>
  <si>
    <t>月201</t>
  </si>
  <si>
    <t>●【内容:Sayataso】[■熨斗(のし)のご希望は、下記へ詳細をご記入下さい(対象商品のみ)。:]【水引の下(連名1)】：【連名2】：【連名3】：</t>
  </si>
  <si>
    <t>月202</t>
  </si>
  <si>
    <t>cosme-211●【シャネル包装紙ラッピング済】●【内容:Natumi】[■熨斗(のし)のご希望は、下記へ詳細をご記入下さい(対象商品のみ)。:]【水引の下(連名1)】：【連名2】：【連名3】：</t>
  </si>
  <si>
    <t>月203</t>
  </si>
  <si>
    <t>●【巾着(大)付き】●【名入れ希望する/無料】名入れの名前Saoriでお願いします。[■熨斗(のし)のご希望は、下記へ詳細をご記入下さい(対象商品のみ)。:]【水引の下(連名1)】：【連名2】：【連名3】：</t>
  </si>
  <si>
    <t>月204</t>
  </si>
  <si>
    <t>parfum-198</t>
  </si>
  <si>
    <t>●【parfum-198/ｼﾛ ﾎﾜｲﾄﾘﾘｰ ﾎﾞﾃﾞｨｺﾛﾝ】</t>
  </si>
  <si>
    <t>『2F』『★』【B-4-3】【シロ】香水 ホワイトリリー ボディコロン 100ml 11293 ■JAN:4580167762622 ◆・宅配小・プチ小・板大・割物注意・ラピ袋M</t>
  </si>
  <si>
    <t>https://item.rakuten.co.jp/cavatina/parfum-198</t>
  </si>
  <si>
    <t>parfum-198●【内容:HAZUKI】【楽天発行クーポン利用額】50[■熨斗(のし)のご希望は、下記へ詳細をご記入下さい(対象商品のみ)。:]【水引の下(連名1)】：【連名2】：【連名3】：</t>
  </si>
  <si>
    <t>月205</t>
  </si>
  <si>
    <t>paul-286-0-390</t>
  </si>
  <si>
    <t>●【paul-286/390】</t>
  </si>
  <si>
    <t>『2F』『★』【C-6-3】【ポールスミス】カードケース インセットマルチストライプ 873409 P792 ■カラー：ダークブラウン ◆・宅配小・プチ小・ラピ袋M</t>
  </si>
  <si>
    <t>https://item.rakuten.co.jp/cavatina/paul-286</t>
  </si>
  <si>
    <t>paul-286-0-390【楽天発行クーポン利用額】50「Y.Nakamura」と名入れをお願いします。購入方法の説明画像を確認しましたが、専用フォームが見当たりませんでした。[■熨斗(のし)のご希望は、下記へ詳細をご記入下さい(対象商品のみ)。:]【水引の下(連名1)】：【連名2】：【連名3】：</t>
  </si>
  <si>
    <t>月206</t>
  </si>
  <si>
    <t>cosme-186-0-667</t>
  </si>
  <si>
    <t>★【cosme-186/667/Dior ｽﾃﾗｼｬｲﾝ】</t>
  </si>
  <si>
    <t>『2F』『★』【AK-5-4】【ディオール】口紅 アディクト ステラー シャイン ■カラー：667/ピンクメテオール ■JAN:3348901456821 ◆・封筒3・板小・ラピ袋S</t>
  </si>
  <si>
    <t>https://item.rakuten.co.jp/cavatina/cosme-186</t>
  </si>
  <si>
    <t>cosme-186-0-667●【内容:I.Syaka】[■熨斗(のし)のご希望は、下記へ詳細をご記入下さい(対象商品のみ)。:]【水引の下(連名1)】：【連名2】：【連名3】：</t>
  </si>
  <si>
    <t>月207</t>
  </si>
  <si>
    <t>●【宅急便】●【巾着(大)付き】●【希望する/無料】●【内容:Ami】Amiで名入れお願いします。[■熨斗(のし)のご希望は、下記へ詳細をご記入下さい(対象商品のみ)。:]【水引の下(連名1)】：【連名2】：【連名3】：</t>
  </si>
  <si>
    <t>月208-1</t>
  </si>
  <si>
    <t>cosme-023●【シャネル包装紙ラッピング済】●【マーク:バラ】cosme-023●【シャネル包装紙ラッピング済】●【内容:Sakiko】●【マーク:バラ】cosme-023●【シャネル包装紙ラッピング済】●【内容:Chise】●【マーク:肉球】cosme-023●【シャネル包装紙ラッピング済】●【内容:Sakura】●【マーク:サクラ】[■熨斗(のし)のご希望は、下記へ詳細をご記入下さい(対象商品のみ)。:]【水引の下(連名1)】：【連名2】：【連名3】：</t>
  </si>
  <si>
    <t>月208-2</t>
  </si>
  <si>
    <t>月208-3</t>
  </si>
  <si>
    <t>月209</t>
  </si>
  <si>
    <t>baccarat-148</t>
  </si>
  <si>
    <t>★【baccarat-148/1客】</t>
  </si>
  <si>
    <t>『D-03』『★』【バカラ】1客 ベガ シャンパンフルート 1365109∵ ◆・G箱・緩衝材・プチシート・割物注意</t>
  </si>
  <si>
    <t>https://item.rakuten.co.jp/cavatina/baccarat-148</t>
  </si>
  <si>
    <t>baccarat-148●【1行目:Keiko】[■熨斗(のし)のご希望は、下記へ詳細をご記入下さい(対象商品のみ)。:]【水引の下(連名1)】：【連名2】：【連名3】：</t>
  </si>
  <si>
    <t>1行目⇒【Keiko】</t>
  </si>
  <si>
    <t>月210</t>
  </si>
  <si>
    <t>●【宅急便】●【巾着(大)付き】●【希望する/無料】●【内容:Eri】[■熨斗(のし)のご希望は、下記へ詳細をご記入下さい(対象商品のみ)。:]【水引の下(連名1)】：【連名2】：【連名3】：</t>
  </si>
  <si>
    <t>月211</t>
  </si>
  <si>
    <t>●【巾着(大)付き】●【名入れ希望する/無料】名入れ: Misato[■熨斗(のし)のご希望は、下記へ詳細をご記入下さい(対象商品のみ)。:]【水引の下(連名1)】：【連名2】：【連名3】：</t>
  </si>
  <si>
    <t>月212</t>
  </si>
  <si>
    <t>●【1点目1行目:HAPPY】●【1点目2行目:YUKARI】●【1点目3行目:2022.3.2】[■熨斗(のし)のご希望は、下記へ詳細をご記入下さい(対象商品のみ)。:]【水引の下(連名1)】：【連名2】：【連名3】：</t>
  </si>
  <si>
    <t>1点目2行目⇒【YUKARI】</t>
  </si>
  <si>
    <t>1点目3行目⇒【2022.3.2】</t>
  </si>
  <si>
    <t>月213</t>
  </si>
  <si>
    <t>hana-070-0-cidKARNA[■熨斗(のし)のご希望は、下記へ詳細をご記入下さい(対象商品のみ)。:]【水引の下(連名1)】：【連名2】：【連名3】：</t>
  </si>
  <si>
    <t>月214</t>
  </si>
  <si>
    <t>cosme-094●【内容:Mako】[■熨斗(のし)のご希望は、下記へ詳細をご記入下さい(対象商品のみ)。:]【水引の下(連名1)】：【連名2】：【連名3】：</t>
  </si>
  <si>
    <t>月215</t>
  </si>
  <si>
    <t>1点目⇒【祝 金婚式　Shinobu&amp;Mayumi】2点目⇒【祝 金婚式　Shinobu&amp;Mayumi】●【フチ取り/逆彫り】●【筆記体】baccarat-1612022-03-12(土)。祝 金婚式　Shinobu&amp;Mayumi2客とも上記のメッセージ刻印お願いします[■熨斗(のし)のご希望は、下記へ詳細をご記入下さい(対象商品のみ)。:]【水引の下(連名1)】：【連名2】：【連名3】：</t>
  </si>
  <si>
    <t>月216</t>
  </si>
  <si>
    <t>hana-070-0-rap名入れ：mie Shimojo[■熨斗(のし)のご希望は、下記へ詳細をご記入下さい(対象商品のみ)。:]【水引の下(連名1)】：【連名2】：【連名3】：</t>
  </si>
  <si>
    <t>月217</t>
  </si>
  <si>
    <t>cosme-054-0-728</t>
  </si>
  <si>
    <t>★【cosme-054/728/ﾙｰｼﾞｭｺｺ ｸﾞﾛｽ】</t>
  </si>
  <si>
    <t>『2F』『★』【AK-3-6】【シャネル】口紅 ルージュ ココ グロス■カラー：728/ローズピュルプ ■JAN: 3145891567281 ◆・封筒3・板小・ラピ袋S</t>
  </si>
  <si>
    <t>https://item.rakuten.co.jp/cavatina/cosme-054</t>
  </si>
  <si>
    <t>cosme-054-0-728●【内容:ayako】●【マーク:サクラ】[■熨斗(のし)のご希望は、下記へ詳細をご記入下さい(対象商品のみ)。:]【水引の下(連名1)】：【連名2】：【連名3】：</t>
  </si>
  <si>
    <t>月218</t>
  </si>
  <si>
    <t>baccarat-153●【フチ取り/逆彫り】●【筆記体】●【内容:POWER】●【ブランドラッピングを希望する】●【ボックス/フレーム】●【メッセージ/Happy Birthday】[■熨斗(のし)のご希望は、下記へ詳細をご記入下さい(対象商品のみ)。:]【水引の下(連名1)】：【連名2】：【連名3】：</t>
  </si>
  <si>
    <t>月219</t>
  </si>
  <si>
    <t>baccarat-153●【フチ取り/逆彫り】●【筆記体】●【内容:祝定年退職　仙台西基地一同】2022-03-12(土)[■熨斗(のし)のご希望は、下記へ詳細をご記入下さい(対象商品のみ)。:]【水引の下(連名1)】：【連名2】：【連名3】：</t>
  </si>
  <si>
    <t>月220</t>
  </si>
  <si>
    <t>●【巾着(大)付き】●【マーク：希望しない】2022-03-12(土)[■熨斗(のし)のご希望は、下記へ詳細をご記入下さい(対象商品のみ)。:]【水引の下(連名1)】：【連名2】：【連名3】：Ayu</t>
  </si>
  <si>
    <t>月221</t>
  </si>
  <si>
    <t>●【巾着(大)付き】●【マーク：流れ星】[■熨斗(のし)のご希望は、下記へ詳細をご記入下さい(対象商品のみ)。:]【水引の下(連名1)】：【連名2】：【連名3】：名入れyoshiko</t>
  </si>
  <si>
    <t>月222</t>
  </si>
  <si>
    <t>●【巾着(大)付き】[■熨斗(のし)のご希望は、下記へ詳細をご記入下さい(対象商品のみ)。:]【水引の下(連名1)】：【連名2】：【連名3】：Natsuko (なつこ）のローマ字で名入れをお願いします。</t>
  </si>
  <si>
    <t>月223</t>
  </si>
  <si>
    <t>cosme-186-0-859</t>
  </si>
  <si>
    <t>★【cosme-186/859/Dior ｽﾃﾗｼｬｲﾝ】</t>
  </si>
  <si>
    <t>『2F』『★』【AK-5-4】【ディオール】口紅 アディクト ステラー シャイン ■カラー：859/ディオールインフィニティ ■JAN:3348901452427 ◆・封筒3・板小・ラピ袋S</t>
  </si>
  <si>
    <t>cosme-186-0-859●【内容:hinako】[■熨斗(のし)のご希望は、下記へ詳細をご記入下さい(対象商品のみ)。:]【水引の下(連名1)】：【連名2】：【連名3】：</t>
  </si>
  <si>
    <t>月224</t>
  </si>
  <si>
    <t>samantha-117-0-yl</t>
  </si>
  <si>
    <t>●【samantha-117/イエロー 55252-60】</t>
  </si>
  <si>
    <t>『2F』『★』【D-6-3】【&amp;シュエット】パスケース チェーン付き リラ 55252■カラー：60/イエロー ◆・宅配小・プチ小</t>
  </si>
  <si>
    <t>https://item.rakuten.co.jp/cavatina/samantha-117</t>
  </si>
  <si>
    <t>samantha-117-0-yl[■熨斗(のし)のご希望は、下記へ詳細をご記入下さい(対象商品のみ)。:]【水引の下(連名1)】：【連名2】：【連名3】：N.ｗａｋａｎａ卒業祝いです。</t>
  </si>
  <si>
    <t>月225-1</t>
  </si>
  <si>
    <t>●【巾着(大)付き】●【マーク：希望しない】●【巾着(大)付き】2022-03-11(金)[■熨斗(のし)のご希望は、下記へ詳細をご記入下さい(対象商品のみ)。:]【水引の下(連名1)】：【連名2】：【連名3】：名前→(1本目) Miwa         (2本目) Sakura</t>
  </si>
  <si>
    <t>月225-2</t>
  </si>
  <si>
    <t>月226</t>
  </si>
  <si>
    <t>annasui-033</t>
  </si>
  <si>
    <t>★【annasui-033/ｱﾅｽｲ ﾀｰｺｲｽﾞﾐﾗｰ】</t>
  </si>
  <si>
    <t>『2F』『★』【D-2-3】【アナスイ】ミラー ラグジュアリー ビューティー ミラー ターコイズブルー ◆・封筒2・ラピ袋M</t>
  </si>
  <si>
    <t>https://item.rakuten.co.jp/cavatina/annasui-033</t>
  </si>
  <si>
    <t>annasui-033※刻印・名入れは作業に1日かかる為、あす楽・指定日は不可です。[■熨斗(のし)のご希望は、下記へ詳細をご記入下さい(対象商品のみ)。:]【水引の下(連名1)】：【連名2】：【連名3】：名入れ希望→　Kinuka</t>
  </si>
  <si>
    <t>月227</t>
  </si>
  <si>
    <t>●【巾着(大)付き】●【内容:Chisa】[■熨斗(のし)のご希望は、下記へ詳細をご記入下さい(対象商品のみ)。:]【水引の下(連名1)】：【連名2】：【連名3】：</t>
  </si>
  <si>
    <t>月228</t>
  </si>
  <si>
    <t>月229</t>
  </si>
  <si>
    <t>cosme-023●【マーク：肉球】●【シャネル包装紙ラッピング済】[■熨斗(のし)のご希望は、下記へ詳細をご記入下さい(対象商品のみ)。:]【水引の下(連名1)】：【連名2】：【連名3】：Y.Ruka</t>
  </si>
  <si>
    <t>月230</t>
  </si>
  <si>
    <t>●【巾着(大)付き】●【マーク：希望しない】[■熨斗(のし)のご希望は、下記へ詳細をご記入下さい(対象商品のみ)。:]【水引の下(連名1)】：【連名2】：【連名3】：名入れ Mayu でお願いします。</t>
  </si>
  <si>
    <t>月231</t>
  </si>
  <si>
    <t>●【巾着(大)付き】●【マーク：ハート】[■熨斗(のし)のご希望は、下記へ詳細をご記入下さい(対象商品のみ)。:]【水引の下(連名1)】：【連名2】：【連名3】：Sayakaお願いします。</t>
  </si>
  <si>
    <t>月232</t>
  </si>
  <si>
    <t>1行目⇒【Congratulations　on　your　marriage.】2行目⇒【2022.2.2】3行目⇒【Takahiro(塗りつぶしハート)Yuuna】hana-075-0-whpk●【刻印位置:ガラスに名入れする/1100円】●【フォント:筆記体】●【１行目（上段）:2022.2.2】●【２行目（下段）:TakahiroYuuna】【店舗発行クーポン利用額】1000【のし】★【御結婚御祝】[■熨斗(のし)のご希望は、下記へ詳細をご記入下さい(対象商品のみ)。:]【水引の下(連名1)】：岡田繁範【連名2】：【連名3】：筆記体でガラス面1段目にCongratulations　on　your　marriage.2段目に2022.2.23段目にTakahiro&amp;#9829;&amp;#65039;Yuunaを希望。</t>
  </si>
  <si>
    <t>刻印位置⇒【ガラスに名入れする/1100円】</t>
  </si>
  <si>
    <t>内容⇒【1行目⇒【Congratulations　on　your　marriage.】2行目⇒【2022.2.2】3行目⇒【Takahiro(塗りつぶしハート)Yuuna】(商品3)hana-075-0-whpk】</t>
  </si>
  <si>
    <t>月233</t>
  </si>
  <si>
    <t>cosme-023●【マーク：キスマーク】●【シャネル包装紙ラッピング済】[■熨斗(のし)のご希望は、下記へ詳細をご記入下さい(対象商品のみ)。:]【水引の下(連名1)】：【連名2】：【連名3】：Yukari</t>
  </si>
  <si>
    <t>月234</t>
  </si>
  <si>
    <t>lamy-003</t>
  </si>
  <si>
    <t>★【lamy-003/箱入り】</t>
  </si>
  <si>
    <t>『2F』【I-4-6】【ラミー】ボールペン 4色  L401 【※化粧箱付】 ■カラー：ブラック ◆・封筒2・ラピ袋M</t>
  </si>
  <si>
    <t>https://item.rakuten.co.jp/cavatina/lamy-003</t>
  </si>
  <si>
    <t>lamy-003●【フォント：筆記体】[■熨斗(のし)のご希望は、下記へ詳細をご記入下さい(対象商品のみ)。:]【水引の下(連名1)】：【連名2】：【連名3】：名入れはI.Hiromiでお願いします。</t>
  </si>
  <si>
    <t>内容⇒【(商品2)lamy-003】</t>
  </si>
  <si>
    <t>月235</t>
  </si>
  <si>
    <t>●【巾着(大)付き】2022-03-11(金)16時～18時[■熨斗(のし)のご希望は、下記へ詳細をご記入下さい(対象商品のみ)。:]【水引の下(連名1)】：【連名2】：【連名3】：Mao とブラシに名前お願いします！</t>
  </si>
  <si>
    <t>月236</t>
  </si>
  <si>
    <t>jillstuart-015</t>
  </si>
  <si>
    <t>●【jillstuart-015/ジル ﾍﾟｱﾀﾝﾌﾞﾗｰ】</t>
  </si>
  <si>
    <t>『D-06』『★』【ジルスチュアート】グラス テーブルウェアコレクション コップ ペア タンブラー ∵ ◆・G箱・緩衝材・プチシート・割物注意・ラピ袋S</t>
  </si>
  <si>
    <t>https://item.rakuten.co.jp/cavatina/jillstuart-015</t>
  </si>
  <si>
    <t>jillstuart-015【のし】★【寿】[■熨斗(のし)のご希望は、下記へ詳細をご記入下さい(対象商品のみ)。:]【水引の下(連名1)】：橋本【連名2】：小林【連名3】：グラスに名入れオプション :   YASUMASAグラスに名入れオプション :   KANA</t>
  </si>
  <si>
    <t>内容⇒【(商品1)jillstuart-015】</t>
  </si>
  <si>
    <t>月237</t>
  </si>
  <si>
    <t>bot-313</t>
  </si>
  <si>
    <t>★【bot-313/二つ折り財布】</t>
  </si>
  <si>
    <t>『2F』【G-5-3】【ボッテガ】二つ折り財布 193642 V4651 1000 ブラック★ ◆・H箱・緩衝材・プチ小・ラピ袋M</t>
  </si>
  <si>
    <t>https://item.rakuten.co.jp/cavatina/bot-313</t>
  </si>
  <si>
    <t>bot-313●【ケアキットをGETする】●【オリジナル紙袋/希望する】[■熨斗(のし)のご希望は、下記へ詳細をご記入下さい(対象商品のみ)。:]【水引の下(連名1)】：【連名2】：【連名3】：イニシャルはH・Sでお願いします。</t>
  </si>
  <si>
    <t>月238</t>
  </si>
  <si>
    <t>hana-075-0-whrd●【木枠に名入れする】●【フォント：明朝体】上段⇒【thank you yukimi(ハートマーク)】下段⇒【感謝を込めて　2022.3.31】2022-03-12(土)[■熨斗(のし)のご希望は、下記へ詳細をご記入下さい(対象商品のみ)。:]【水引の下(連名1)】：【連名2】：【連名3】：名入れ1100円　ラッピング550円希望上段にthank you yukimi&amp;#9825;下段に　感謝を込めて　2022.3.31宜しくお願いします</t>
  </si>
  <si>
    <t>内容⇒【(商品1)hana-075-0-whrd】</t>
  </si>
  <si>
    <t>月239</t>
  </si>
  <si>
    <t>●【宅急便】●【巾着(大)付き】●【希望する/無料】●【内容:Riina】●【マーク:流れ星】[■熨斗(のし)のご希望は、下記へ詳細をご記入下さい(対象商品のみ)。:]【水引の下(連名1)】：【連名2】：【連名3】：以下の名入れ希望です。今は名入れ無料ですか？Riinaマークは流れ星</t>
  </si>
  <si>
    <t>月240</t>
  </si>
  <si>
    <t>samantha-033-0-yl</t>
  </si>
  <si>
    <t>●【samantha-033/10012-60/イエロー】</t>
  </si>
  <si>
    <t>『2F』『★』【D-6-2】【&amp;シュエット】長財布 10012■カラー：60/イエロー ◆・宅配小・プチ小</t>
  </si>
  <si>
    <t>https://item.rakuten.co.jp/cavatina/samantha-033</t>
  </si>
  <si>
    <t>samantha-033-0-yl[■熨斗(のし)のご希望は、下記へ詳細をご記入下さい(対象商品のみ)。:]【水引の下(連名1)】：【連名2】：【連名3】：名入れ:Keina</t>
  </si>
  <si>
    <t>内容⇒【(商品3)samantha-033-0-yl】</t>
  </si>
  <si>
    <t>月241</t>
  </si>
  <si>
    <t>●【巾着(大)付き】●【内容:Shiho】[■熨斗(のし)のご希望は、下記へ詳細をご記入下さい(対象商品のみ)。:]【水引の下(連名1)】：【連名2】：【連名3】：</t>
  </si>
  <si>
    <t>月242</t>
  </si>
  <si>
    <t>cosme-023●【マーク：バラ】●【シャネル包装紙ラッピング済】[■熨斗(のし)のご希望は、下記へ詳細をご記入下さい(対象商品のみ)。:]【水引の下(連名1)】：【連名2】：【連名3】：OVITZ</t>
  </si>
  <si>
    <t>月243</t>
  </si>
  <si>
    <t>hana-070-0-rap内容⇒【D.Yukiko】[■熨斗(のし)のご希望は、下記へ詳細をご記入下さい(対象商品のみ)。:]【水引の下(連名1)】：【連名2】：【連名3】：複数購入のバナーが出て来ません。以下のサイトも見ましたがよく分かりませんでした…。名入れしたいです。有料認識済みです。D.Yukikoで、お願いします。</t>
  </si>
  <si>
    <t>内容⇒【(商品1)hana-070-0-rap】</t>
  </si>
  <si>
    <t>月244</t>
  </si>
  <si>
    <t>●【巾着(大)付き】●【マーク：鳥】【店舗発行クーポン利用額】10002022-03-11(金)[■熨斗(のし)のご希望は、下記へ詳細をご記入下さい(対象商品のみ)。:]【水引の下(連名1)】：【連名2】：【連名3】：Haru</t>
  </si>
  <si>
    <t>月245</t>
  </si>
  <si>
    <t>parfum-555[■熨斗(のし)のご希望は、下記へ詳細をご記入下さい(対象商品のみ)。:]【水引の下(連名1)】：【連名2】：【連名3】：Chika.K</t>
  </si>
  <si>
    <t>月246</t>
  </si>
  <si>
    <t>●【巾着(大)付き】[■熨斗(のし)のご希望は、下記へ詳細をご記入下さい(対象商品のみ)。:]【水引の下(連名1)】：【連名2】：【連名3】：Madoka</t>
  </si>
  <si>
    <t>月247</t>
  </si>
  <si>
    <t>dwf-002-0-rd</t>
  </si>
  <si>
    <t>●【dwf-002-0-rd/ﾚﾎﾞﾏｯｸｽ】</t>
  </si>
  <si>
    <t>【レボマックス】真空断熱ボトル DWF-12427B （12oz）355ml ■カラー:ファイヤーレッド∵ ■JAN:806810843994 ◆・宅配大・プチシート・取扱注意</t>
  </si>
  <si>
    <t>https://item.rakuten.co.jp/cavatina/dwf-002</t>
  </si>
  <si>
    <t>dwf-002-0-rd●【内容:Haruki】[■熨斗(のし)のご希望は、下記へ詳細をご記入下さい(対象商品のみ)。:]【水引の下(連名1)】：【連名2】：【連名3】：</t>
  </si>
  <si>
    <t>月248</t>
  </si>
  <si>
    <t>baccarat-138●【フチ取り/逆彫り】●【筆記体】★【熨斗】[■熨斗(のし)のご希望は、下記へ詳細をご記入下さい(対象商品のみ)。:]【水引の下(連名1)】：羽田航空基地　職員一同【連名2】：【連名3】：名入れ: 一つ目:2022 JCG HANEDA           二つ目:KAWAGUCHI----------------------------------------</t>
  </si>
  <si>
    <t>内容⇒【(商品3)baccarat-138】</t>
  </si>
  <si>
    <t>月249</t>
  </si>
  <si>
    <t>●【巾着(大)付き】●【マーク：希望しない】[■熨斗(のし)のご希望は、下記へ詳細をご記入下さい(対象商品のみ)。:]【水引の下(連名1)】：【連名2】：【連名3】：Miku</t>
  </si>
  <si>
    <t>月250</t>
  </si>
  <si>
    <t>内容⇒【Happy retirement 2022.3.24】baccarat-153●【フチ取り/逆彫り】●【筆記体】●【内容:Happy retirement】●[■熨斗(のし)のご希望は、下記へ詳細をご記入下さい(対象商品のみ)。:]【水引の下(連名1)】：【連名2】：【連名3】：名入れの部分なんですが、日付も一緒に入れる事できるのであれば、下記内容でお願いします。Happy retirement 2022.3.24</t>
  </si>
  <si>
    <t>内容⇒【内容⇒【Happy retirement 2022.3.24】(商品2)baccarat-153】</t>
  </si>
  <si>
    <t>月251</t>
  </si>
  <si>
    <t>●【巾着(大)付き】●【マーク：ハート】[■熨斗(のし)のご希望は、下記へ詳細をご記入下さい(対象商品のみ)。:]【水引の下(連名1)】：【連名2】：【連名3】：名入れ希望ですYui</t>
  </si>
  <si>
    <t>月252</t>
  </si>
  <si>
    <t>baccarat-160●【フチ取り/逆彫り】●【明朝体】[■熨斗(のし)のご希望は、下記へ詳細をご記入下さい(対象商品のみ)。:]【水引の下(連名1)】：【連名2】：【連名3】：［名入れ］祝　還暦　2022.03.09</t>
  </si>
  <si>
    <t>月253</t>
  </si>
  <si>
    <t>●【巾着(大)付き】●【マーク：バラ】[■熨斗(のし)のご希望は、下記へ詳細をご記入下さい(対象商品のみ)。:]【水引の下(連名1)】：【連名2】：【連名3】：Nina</t>
  </si>
  <si>
    <t>月254</t>
  </si>
  <si>
    <t xml:space="preserve">●【巾着(大)付き】●【マーク：希望しない】2022-03-11(金)[■熨斗(のし)のご希望は、下記へ詳細をご記入下さい(対象商品のみ)。:]【水引の下(連名1)】：【連名2】：【連名3】：Karen </t>
  </si>
  <si>
    <t>月255</t>
  </si>
  <si>
    <t>jillstuart-024-0-01[■熨斗(のし)のご希望は、下記へ詳細をご記入下さい(対象商品のみ)。:]【水引の下(連名1)】：【連名2】：【連名3】：名入れ:Mio</t>
  </si>
  <si>
    <t>月256</t>
  </si>
  <si>
    <t>●【巾着(大)付き】●【マーク：バラ】[■熨斗(のし)のご希望は、下記へ詳細をご記入下さい(対象商品のみ)。:]【水引の下(連名1)】：【連名2】：【連名3】：名入れ希望です。YKRN</t>
  </si>
  <si>
    <t>月257</t>
  </si>
  <si>
    <t>jillstuart-024-0-04</t>
  </si>
  <si>
    <t>●【jillstuart-024/04/リップバーム】</t>
  </si>
  <si>
    <t>『2F』『★』【AK-5-1】【ジルスチュアート】リップ グロウ セラムバーム ■カラー:4/トマトレッド ■JAN:4971710293340 ◆・封筒3・板小・ラピ袋S</t>
  </si>
  <si>
    <t>jillstuart-024-0-04[■熨斗(のし)のご希望は、下記へ詳細をご記入下さい(対象商品のみ)。:]【水引の下(連名1)】：【連名2】：【連名3】：Marino</t>
  </si>
  <si>
    <t>月258</t>
  </si>
  <si>
    <t>baccarat-160●【ボックス/薔薇】●【メッセージ/Happy Birthday】[■熨斗(のし)のご希望は、下記へ詳細をご記入下さい(対象商品のみ)。:]【水引の下(連名1)】：【連名2】：【連名3】：</t>
  </si>
  <si>
    <t>内容⇒【(商品3)baccarat-160】</t>
  </si>
  <si>
    <t>月259</t>
  </si>
  <si>
    <t>●【巾着(大)付き】[■熨斗(のし)のご希望は、下記へ詳細をご記入下さい(対象商品のみ)。:]【水引の下(連名1)】：【連名2】：【連名3】：名入れ希望文字→　airi</t>
  </si>
  <si>
    <t>月260-1</t>
  </si>
  <si>
    <t>●【巾着(大)付き】●【マーク：バラ】●【巾着(大)付き】[■熨斗(のし)のご希望は、下記へ詳細をご記入下さい(対象商品のみ)。:]【水引の下(連名1)】：【連名2】：【連名3】：・Mako・Yuka</t>
  </si>
  <si>
    <t>月260-2</t>
  </si>
  <si>
    <t>月261</t>
  </si>
  <si>
    <t>●【マーク：バラ】[■熨斗(のし)のご希望は、下記へ詳細をご記入下さい(対象商品のみ)。:]【水引の下(連名1)】：【連名2】：【連名3】：TOMIKO</t>
  </si>
  <si>
    <t>月262</t>
  </si>
  <si>
    <t>jillstuart-024-0-05</t>
  </si>
  <si>
    <t>●【jillstuart-024-0-05/ﾘｯﾌﾟ ｾﾗﾑﾊﾞｰﾑ】</t>
  </si>
  <si>
    <t>『2F』『★』【AK-5-1】【ジルスチュアート】リップ グロウ セラムバーム ■カラー:5/ピュアオレンジ ■JAN:4971710293357 ◆・封筒3・板小・ラピ袋S</t>
  </si>
  <si>
    <t>jillstuart-024-0-05[■熨斗(のし)のご希望は、下記へ詳細をご記入下さい(対象商品のみ)。:]【水引の下(連名1)】：【連名2】：【連名3】：名前は、Fukaでお願いします。</t>
  </si>
  <si>
    <t>月263</t>
  </si>
  <si>
    <t>cos-294</t>
  </si>
  <si>
    <t>★【cos-294/ﾌﾞﾙｶﾞﾘ ﾌﾞﾙｰ100ml】</t>
  </si>
  <si>
    <t>『C-B8』【香水】【ブルガリ】ブルー プールオム EDT 100ml ■JAN:783320881596/4517989111765/783320402739 ◆・宅配小・プチ小・板大・割物注意・ラピ袋M</t>
  </si>
  <si>
    <t>https://item.rakuten.co.jp/cavatina/cos-294</t>
  </si>
  <si>
    <t>[■熨斗(のし)のご希望は、下記へ詳細をご記入下さい(対象商品のみ)。:]【水引の下(連名1)】：【連名2】：【連名3】：名前入れの文字↓ken sayu2021.9.22Together Forever宜しくお願いします。</t>
  </si>
  <si>
    <t>内容⇒【(商品3)cos-294】</t>
  </si>
  <si>
    <t>月264</t>
  </si>
  <si>
    <t>●【巾着(大)付き】●【マーク：希望しない】2022-03-13(日)[■熨斗(のし)のご希望は、下記へ詳細をご記入下さい(対象商品のみ)。:]【水引の下(連名1)】：【連名2】：【連名3】：「Fuki」と名入れお願いします。</t>
  </si>
  <si>
    <t>月265</t>
  </si>
  <si>
    <t>●【マーク：サクラ】[■熨斗(のし)のご希望は、下記へ詳細をご記入下さい(対象商品のみ)。:]【水引の下(連名1)】：【連名2】：【連名3】：KOA</t>
  </si>
  <si>
    <t>月266</t>
  </si>
  <si>
    <t>jillstuart-024-0-01[■熨斗(のし)のご希望は、下記へ詳細をご記入下さい(対象商品のみ)。:]【水引の下(連名1)】：【連名2】：【連名3】：Aina</t>
  </si>
  <si>
    <t>月267</t>
  </si>
  <si>
    <t>●【巾着(大)付き】●【マーク：ハート】[■熨斗(のし)のご希望は、下記へ詳細をご記入下さい(対象商品のみ)。:]【水引の下(連名1)】：【連名2】：【連名3】：名入れ希望ですChiemi</t>
  </si>
  <si>
    <t>月268</t>
  </si>
  <si>
    <t>cosme-172-0-80●【マーク：キスマーク】2022-03-11(金)[■熨斗(のし)のご希望は、下記へ詳細をご記入下さい(対象商品のみ)。:]【水引の下(連名1)】：【連名2】：【連名3】：Nozomi</t>
  </si>
  <si>
    <t>月269-1</t>
  </si>
  <si>
    <t>cosme-173-0-70●【マーク：希望しない】[■熨斗(のし)のご希望は、下記へ詳細をご記入下さい(対象商品のみ)。:]【水引の下(連名1)】：【連名2】：【連名3】：カラー90ジュール　karinカラー70アティテュード　yuhana</t>
  </si>
  <si>
    <t>月269-2</t>
  </si>
  <si>
    <t>月270</t>
  </si>
  <si>
    <t>●【巾着(大)付き】●【マーク：ハート】2022-03-14(月)[■熨斗(のし)のご希望は、下記へ詳細をご記入下さい(対象商品のみ)。:]【水引の下(連名1)】：【連名2】：【連名3】：名入れ: Kumiko</t>
  </si>
  <si>
    <t>月271</t>
  </si>
  <si>
    <t>●【巾着(大)付き】●【マーク：希望しない】[■熨斗(のし)のご希望は、下記へ詳細をご記入下さい(対象商品のみ)。:]【水引の下(連名1)】：【連名2】：【連名3】：Haruna</t>
  </si>
  <si>
    <t>月272</t>
  </si>
  <si>
    <t>●【巾着(大)付き】●【マーク：クローバー】2022-03-11(金)[■熨斗(のし)のご希望は、下記へ詳細をご記入下さい(対象商品のみ)。:]【水引の下(連名1)】：【連名2】：【連名3】：名入れ内容【Haruka クローバー】</t>
  </si>
  <si>
    <t>月273</t>
  </si>
  <si>
    <t>[■熨斗(のし)のご希望は、下記へ詳細をご記入下さい(対象商品のみ)。:]【水引の下(連名1)】：【連名2】：【連名3】：Ayaka.N----------------------------------</t>
  </si>
  <si>
    <t>月274</t>
  </si>
  <si>
    <t>●【巾着(大)付き】●【マーク：希望しない】[■熨斗(のし)のご希望は、下記へ詳細をご記入下さい(対象商品のみ)。:]【水引の下(連名1)】：【連名2】：【連名3】：Yumika</t>
  </si>
  <si>
    <t>月275</t>
  </si>
  <si>
    <t>baccarat-161[■熨斗(のし)のご希望は、下記へ詳細をご記入下さい(対象商品のみ)。:]【水引の下(連名1)】：【連名2】：【連名3】：一つ目　Happy Retirement二つ目　Enjoy your next stage !</t>
  </si>
  <si>
    <t>月276</t>
  </si>
  <si>
    <t>baccarat-137[■熨斗(のし)のご希望は、下記へ詳細をご記入下さい(対象商品のみ)。:]【水引の下(連名1)】：【連名2】：【連名3】：March.2022　Shuichi Yamada</t>
  </si>
  <si>
    <t>内容⇒【(商品2)baccarat-137】</t>
  </si>
  <si>
    <t>月277</t>
  </si>
  <si>
    <t>hana-002-0-bl</t>
  </si>
  <si>
    <t>★【hana-002/bl/ｱｸﾘﾙﾋｰﾙ】</t>
  </si>
  <si>
    <t>【アリスフラワー】ヒールアレンジ バラ3輪 パールピック付■カラー：ブルー∵ ■JAN: 4573152420119 ◆・緩衝材・天地無用・取扱注意</t>
  </si>
  <si>
    <t>https://item.rakuten.co.jp/cavatina/hana-002</t>
  </si>
  <si>
    <t>hana-002-0-bl●【筆記体】[■熨斗(のし)のご希望は、下記へ詳細をご記入下さい(対象商品のみ)。:]【水引の下(連名1)】：【連名2】：【連名3】：Yuki</t>
  </si>
  <si>
    <t>月278</t>
  </si>
  <si>
    <t>bot-180</t>
  </si>
  <si>
    <t>★【bot-180/ｶｰﾄﾞｹｰｽ】</t>
  </si>
  <si>
    <t>『2F』【G-6-3】【ボッテガ】カードケース ブラック 133945 V001U 1000 ◆・H箱・緩衝材・プチ小・ラピ袋M</t>
  </si>
  <si>
    <t>https://item.rakuten.co.jp/cavatina/bot-180</t>
  </si>
  <si>
    <t>bot-180●【ケアキットをGETする】●【オリジナル紙袋/希望する】内容⇒【K.S】[■熨斗(のし)のご希望は、下記へ詳細をご記入下さい(対象商品のみ)。:]【水引の下(連名1)】：【連名2】：【連名3】：名入れ希望</t>
  </si>
  <si>
    <t>内容⇒【(商品2)bot-180】</t>
  </si>
  <si>
    <t>月279</t>
  </si>
  <si>
    <t>chouette-031-0-nv</t>
  </si>
  <si>
    <t>●【chouette-031/nv】</t>
  </si>
  <si>
    <t>『2F』『★』【D-5-4】【＆シュエット】カードケース リボンプレート ミラ 95162 ■カラー：ネイビー ◆・宅配小・プチ小</t>
  </si>
  <si>
    <t>https://item.rakuten.co.jp/cavatina/chouette-031</t>
  </si>
  <si>
    <t>chouette-031-0-nv●【内容:Nami.Y】[■熨斗(のし)のご希望は、下記へ詳細をご記入下さい(対象商品のみ)。:]【水引の下(連名1)】：【連名2】：【連名3】：</t>
  </si>
  <si>
    <t>月280-1</t>
  </si>
  <si>
    <t>tsurumi-120-0-tate●【縦（たて）型】●【希望する/無料】●【内容:圭人 令和元年十一月七日 生】●【レーザー刻印】●【端午節句（いのしし）】tsurumi-120-0-tate●【縦（たて）型】●【希望する/無料】●【内容:早人  令和三年十月三十一日 生】●【レーザー刻印】●【端午節句（うし）】[■熨斗(のし)のご希望は、下記へ詳細をご記入下さい(対象商品のみ)。:]【水引の下(連名1)】：【連名2】：【連名3】：</t>
  </si>
  <si>
    <t>月280-2</t>
  </si>
  <si>
    <t>月281</t>
  </si>
  <si>
    <t>●【宅急便】●【巾着(大)付き】●【希望する/無料】●【内容:Yukako】●【マーク:流れ星】[■熨斗(のし)のご希望は、下記へ詳細をご記入下さい(対象商品のみ)。:]【水引の下(連名1)】：【連名2】：【連名3】：名入れ希望ですが今回無料との事でよろしいでしょうか。</t>
  </si>
  <si>
    <t>月282</t>
  </si>
  <si>
    <t>cosme-045</t>
  </si>
  <si>
    <t>★【cosme-045/Dior ｽｸﾗﾌﾞ&amp;ﾊﾞｰﾑ】</t>
  </si>
  <si>
    <t>『2F』『★』【AK-5-3】【ディオール】口紅 アディクト スクラブ＆バーム 001/ピンク ■JAN: 3348901334952 ◆・封筒3・板小・ラピ袋S</t>
  </si>
  <si>
    <t>https://item.rakuten.co.jp/cavatina/cosme-045</t>
  </si>
  <si>
    <t>cosme-045[■熨斗(のし)のご希望は、下記へ詳細をご記入下さい(対象商品のみ)。:]【水引の下(連名1)】：【連名2】：【連名3】：名入れ2021.rui</t>
  </si>
  <si>
    <t>内容⇒【(商品2)cosme-045】</t>
  </si>
  <si>
    <t>月283</t>
  </si>
  <si>
    <t>●【巾着(大)付き】●【マーク：希望しない】2022-03-12(土)[■熨斗(のし)のご希望は、下記へ詳細をご記入下さい(対象商品のみ)。:]【水引の下(連名1)】：【連名2】：【連名3】：Kyoka</t>
  </si>
  <si>
    <t>月284</t>
  </si>
  <si>
    <t>●【巾着(大)付き】●【マーク：希望しない】[■熨斗(のし)のご希望は、下記へ詳細をご記入下さい(対象商品のみ)。:]【水引の下(連名1)】：【連名2】：【連名3】：Toshiko</t>
  </si>
  <si>
    <t>月285</t>
  </si>
  <si>
    <t>cosme-094[■熨斗(のし)のご希望は、下記へ詳細をご記入下さい(対象商品のみ)。:]名入れはyukaでお願いします。</t>
  </si>
  <si>
    <t>月286</t>
  </si>
  <si>
    <t>cosme-030-0-416●【マーク：希望しない】[■熨斗(のし)のご希望は、下記へ詳細をご記入下さい(対象商品のみ)。:]【水引の下(連名1)】：【連名2】：【連名3】：Ayaka</t>
  </si>
  <si>
    <t>月287</t>
  </si>
  <si>
    <t>●【巾着(大)付き】●【マーク：ハート】2022-03-14(月)[■熨斗(のし)のご希望は、下記へ詳細をご記入下さい(対象商品のみ)。:]【水引の下(連名1)】：【連名2】：【連名3】：Yukino</t>
  </si>
  <si>
    <t>月288</t>
  </si>
  <si>
    <t>baccarat-137●【ボックス/薔薇】●【メッセージ/Tank You】2022-03-12(土)[■熨斗(のし)のご希望は、下記へ詳細をご記入下さい(対象商品のみ)。:]【水引の下(連名1)】：【連名2】：【連名3】：</t>
  </si>
  <si>
    <t>友達あり 月289</t>
    <rPh sb="0" eb="2">
      <t>トモダチ</t>
    </rPh>
    <phoneticPr fontId="6"/>
  </si>
  <si>
    <t>ronherman-009-0-rd</t>
  </si>
  <si>
    <t>★【ronherman-009/ﾚｯﾄﾞ/ｺﾝﾊﾟｸﾄﾐﾗｰ】</t>
  </si>
  <si>
    <t>『2F』『★』【C-3-2】【ロンハーマン】ミラー ハート型ミラー HEART MILLER■カラー：レッド ◆・封筒3・ラピ袋S</t>
  </si>
  <si>
    <t>https://item.rakuten.co.jp/cavatina/ronherman-009</t>
  </si>
  <si>
    <t>ronherman-068-rd-cor●【ミラーに名入れする】[■熨斗(のし)のご希望は、下記へ詳細をご記入下さい(対象商品のみ)。:]【水引の下(連名1)】：【連名2】：【連名3】：Momono.A</t>
  </si>
  <si>
    <t>月290</t>
  </si>
  <si>
    <t>cosme-236-0-630</t>
  </si>
  <si>
    <t>★【cosme-236/630/Dior ｱﾃﾞｨｸﾄ ｽﾃﾗｰｸﾞﾛｽ】</t>
  </si>
  <si>
    <t>『2F』『★』【AK-5-5】【ディオール】口紅 アディクト ステラー グロス 6.5ml ■カラー：630/D-ライト ■JAN:3348901500494 ◆・封筒3・板小・ラピ袋S</t>
  </si>
  <si>
    <t>https://item.rakuten.co.jp/cavatina/cosme-236</t>
  </si>
  <si>
    <t>cosme-236-0-630[■熨斗(のし)のご希望は、下記へ詳細をご記入下さい(対象商品のみ)。:]【水引の下(連名1)】：【連名2】：【連名3】：Megumi</t>
  </si>
  <si>
    <t>月291</t>
  </si>
  <si>
    <t>●【巾着(大)付き】●【マーク：希望しない】[■熨斗(のし)のご希望は、下記へ詳細をご記入下さい(対象商品のみ)。:]【水引の下(連名1)】：【連名2】：【連名3】：Maiko</t>
  </si>
  <si>
    <t>月292</t>
  </si>
  <si>
    <t>内容⇒【Nana】●【巾着(大)付き】[■熨斗(のし)のご希望は、下記へ詳細をご記入下さい(対象商品のみ)。:]【水引の下(連名1)】：【連名2】：【連名3】：</t>
  </si>
  <si>
    <t>月293</t>
  </si>
  <si>
    <t>●【宅急便】●【巾着(大)付き】●【希望する/無料】●【内容:Saori】[■熨斗(のし)のご希望は、下記へ詳細をご記入下さい(対象商品のみ)。:]【水引の下(連名1)】：【連名2】：【連名3】：</t>
  </si>
  <si>
    <t>月294</t>
  </si>
  <si>
    <t>●【巾着(大)付き】内容⇒【Maaya】マーク⇒鳥2022-03-19(土)16時～18時[■熨斗(のし)のご希望は、下記へ詳細をご記入下さい(対象商品のみ)。:]【水引の下(連名1)】：【連名2】：【連名3】：</t>
  </si>
  <si>
    <t>月295</t>
  </si>
  <si>
    <t>[■熨斗(のし)のご希望は、下記へ詳細をご記入下さい(対象商品のみ)。:]【水引の下(連名1)】：【連名2】：【連名3】：Mirai</t>
  </si>
  <si>
    <t>月296-1</t>
  </si>
  <si>
    <t>baccarat-160●【フチ取り/逆彫り】●【筆記体】●【内容:T.Sato】baccarat-160●【フチ取り/逆彫り】●【筆記体】●【内容:T.Tamura】[■熨斗(のし)のご希望は、下記へ詳細をご記入下さい(対象商品のみ)。:]【水引の下(連名1)】：【連名2】：【連名3】：</t>
  </si>
  <si>
    <t>月296-2</t>
  </si>
  <si>
    <t>月297</t>
  </si>
  <si>
    <t>●【フチ取り/逆彫り】●【明朝体】【のし】★【御祝】2022-03-12(土)14時～16時[■熨斗(のし)のご希望は、下記へ詳細をご記入下さい(対象商品のみ)。:]【水引の下(連名1)】：【連名2】：【連名3】：名入れについては、以下のとおりお願いします。退職祝い　2022.3.31</t>
  </si>
  <si>
    <t>内容⇒【については、以下のとおりお願いします。退職祝い　2022.3.31】</t>
  </si>
  <si>
    <t>内容⇒【(商品3)baccarat-004】</t>
  </si>
  <si>
    <t>月298</t>
  </si>
  <si>
    <t>●【巾着(大)付き】●【マーク：希望しない】[■熨斗(のし)のご希望は、下記へ詳細をご記入下さい(対象商品のみ)。:]【水引の下(連名1)】：【連名2】：【連名3】：名入れ希望　下記Emiko</t>
  </si>
  <si>
    <t>月299</t>
  </si>
  <si>
    <t>jillstuart-011-0-111</t>
  </si>
  <si>
    <t>★【jillstuart-011-0-111/ｼﾞﾙ ﾘｯﾌﾟﾌﾞﾛｯｻﾑ】</t>
  </si>
  <si>
    <t>『2F』『★』【AK-4-10】【ジルスチュアート】口紅 ルージュ リップブロッサム 3.6g ■カラー:111/メロウローズ ■JAN:4971710289800 ◆・封筒3・板小・ラピ袋S</t>
  </si>
  <si>
    <t>https://item.rakuten.co.jp/cavatina/jillstuart-011</t>
  </si>
  <si>
    <t>jillstuart-011-0-111[■熨斗(のし)のご希望は、下記へ詳細をご記入下さい(対象商品のみ)。:]【水引の下(連名1)】：【連名2】：【連名3】：yuichan---------------------------------</t>
  </si>
  <si>
    <t>月300</t>
  </si>
  <si>
    <t>●【baccarat-156/2客】</t>
  </si>
  <si>
    <t>『D-03』『★』【バカラ】2客 グラス ジャパン ブラーヴァ∵ ◆・G箱・緩衝材・プチシート・割物注意</t>
  </si>
  <si>
    <t>https://item.rakuten.co.jp/cavatina/baccarat-156</t>
  </si>
  <si>
    <t>1点目⇒【祝　金婚式】2点目⇒【祝　金婚式】baccarat-156●【逆彫り】●【明朝体】2022-03-13(日)[■熨斗(のし)のご希望は、下記へ詳細をご記入下さい(対象商品のみ)。:]【水引の下(連名1)】：【連名2】：【連名3】：祝　金婚式</t>
  </si>
  <si>
    <t>月301</t>
  </si>
  <si>
    <t>●【巾着(大)付き】●【マーク：希望しない】[■熨斗(のし)のご希望は、下記へ詳細をご記入下さい(対象商品のみ)。:]【水引の下(連名1)】：【連名2】：【連名3】：・名入れ希望→MITSUKA・3/24到着での指定日配達をお願いします。お届け日時欄にて選択が出来なかったため、こちらに記入します。</t>
  </si>
  <si>
    <t>月302</t>
  </si>
  <si>
    <t>●【巾着(大)付き】●【マーク：希望しない】[■熨斗(のし)のご希望は、下記へ詳細をご記入下さい(対象商品のみ)。:]【水引の下(連名1)】：【連名2】：【連名3】：Natsuki</t>
  </si>
  <si>
    <t>月303</t>
  </si>
  <si>
    <t>baccarat-161●【フチ取り/逆彫り】●【筆記体】●【希望する/2200円】●【1点目:1周年 2022/03/05】●【2点目:1周年 2022/03/05】●[■熨斗(のし)のご希望は、下記へ詳細をご記入下さい(対象商品のみ)。:]【水引の下(連名1)】：【連名2】：【連名3】：</t>
  </si>
  <si>
    <t>2点目⇒【1周年 2022/03/05】</t>
  </si>
  <si>
    <t>月304</t>
  </si>
  <si>
    <t>●【巾着(大)付き】●【マーク：スマイル】[■熨斗(のし)のご希望は、下記へ詳細をご記入下さい(対象商品のみ)。:]【水引の下(連名1)】：【連名2】：【連名3】：しほ　Shiho</t>
  </si>
  <si>
    <t>月305</t>
  </si>
  <si>
    <t>parfum-479</t>
  </si>
  <si>
    <t>★【parfum-479/ﾌﾞﾙｰﾄﾞｩｼｬﾈﾙEDT 50ml】</t>
  </si>
  <si>
    <t>『2F』『★』【A-3-5】【シャネル】香水 ブルードゥ シャネル EDT 50ml ■JAN:3145891074505 ◆・宅配小・プチ小・板大・割物注意・ラピ袋M</t>
  </si>
  <si>
    <t>https://item.rakuten.co.jp/cavatina/parfum-479</t>
  </si>
  <si>
    <t>parfum-479[■熨斗(のし)のご希望は、下記へ詳細をご記入下さい(対象商品のみ)。:]【水引の下(連名1)】：【連名2】：【連名3】：Happy Birthday    MASAKI☆             3.17</t>
  </si>
  <si>
    <t>内容⇒【(商品3)parfum-479】</t>
  </si>
  <si>
    <t>月306</t>
  </si>
  <si>
    <t>baccarat-160●【フチ取り/逆彫り】●【筆記体】[■熨斗(のし)のご希望は、下記へ詳細をご記入下さい(対象商品のみ)。:]【水引の下(連名1)】：【連名2】：【連名3】：Y.Yano</t>
  </si>
  <si>
    <t>月307</t>
  </si>
  <si>
    <t>●【巾着(大)付き】●【マーク：希望しない】2022-03-16(水)[■熨斗(のし)のご希望は、下記へ詳細をご記入下さい(対象商品のみ)。:]【水引の下(連名1)】：【連名2】：【連名3】：Kyoko</t>
  </si>
  <si>
    <t>月308</t>
  </si>
  <si>
    <t>parfum-201内容⇒【Rina(ハートマーク)】2022-03-12(土)[■熨斗(のし)のご希望は、下記へ詳細をご記入下さい(対象商品のみ)。:]【水引の下(連名1)】：【連名2】：【連名3】：Rina&amp;#9825;</t>
  </si>
  <si>
    <t>月309</t>
  </si>
  <si>
    <t>baccarat-137●【ボックス/薔薇】●【メッセージ/Tank You】[■熨斗(のし)のご希望は、下記へ詳細をご記入下さい(対象商品のみ)。:]【水引の下(連名1)】：【連名2】：【連名3】：Dear Shizue 2022.3.20</t>
  </si>
  <si>
    <t>月310</t>
  </si>
  <si>
    <t>cosme-037-0-46</t>
  </si>
  <si>
    <t>★【cosme-037/46/ｳﾞｫﾘｭﾌﾟﾃｼｬｲﾝ】</t>
  </si>
  <si>
    <t>『2F』『★』【AK-1-2】【YSL】口紅 ルージュ ヴォリュプテ シャイン ■カラー：46/オランジュパーフェクト ■JAN: 3614271280275 ◆・封筒3・板小・ラピ袋S</t>
  </si>
  <si>
    <t>cosme-037-0-46●【マーク：キスマーク】2022-03-12(土)[■熨斗(のし)のご希望は、下記へ詳細をご記入下さい(対象商品のみ)。:]【水引の下(連名1)】：【連名2】：【連名3】：名入れ=ゆき</t>
  </si>
  <si>
    <t>内容⇒【(商品3)cosme-037-0-46】</t>
  </si>
  <si>
    <t>月311</t>
  </si>
  <si>
    <t>●【巾着(大)付き】●【マーク：ハート】[■熨斗(のし)のご希望は、下記へ詳細をご記入下さい(対象商品のみ)。:]【水引の下(連名1)】：【連名2】：【連名3】：Keiko</t>
  </si>
  <si>
    <t>月312</t>
  </si>
  <si>
    <t>★【baccarat-002/1客】</t>
  </si>
  <si>
    <t>『D-01』『★』【バカラ】1客 ベルーガ タンブラー 2811813∵ ◆・G箱・緩衝材・プチシート・割物注意</t>
  </si>
  <si>
    <t>https://item.rakuten.co.jp/cavatina/baccarat-002</t>
  </si>
  <si>
    <t>baccarat-002●【フチ取り/逆彫り】●【筆記体】●【内容:M.Ujiie kitakami】●[■熨斗(のし)のご希望は、下記へ詳細をご記入下さい(対象商品のみ)。:]【水引の下(連名1)】：【連名2】：【連名3】：</t>
  </si>
  <si>
    <t>内容⇒【(商品2)baccarat-002】</t>
  </si>
  <si>
    <t>月313</t>
  </si>
  <si>
    <t>[■熨斗(のし)のご希望は、下記へ詳細をご記入下さい(対象商品のみ)。:]【水引の下(連名1)】：【連名2】：【連名3】：名前Risa.M---------------------------------------</t>
  </si>
  <si>
    <t>月314</t>
  </si>
  <si>
    <t>●【巾着(大)付き】●【マーク：クローバー】[■熨斗(のし)のご希望は、下記へ詳細をご記入下さい(対象商品のみ)。:]【水引の下(連名1)】：【連名2】：【連名3】：--Kaori---------------------------------------</t>
  </si>
  <si>
    <t>月315</t>
  </si>
  <si>
    <t>●【巾着(大)付き】●【マーク：クローバー】内容⇒【yurika】[■熨斗(のし)のご希望は、下記へ詳細をご記入下さい(対象商品のみ)。:]【水引の下(連名1)】：【連名2】：【連名3】：ゆりかでお願いします</t>
  </si>
  <si>
    <t>月316</t>
  </si>
  <si>
    <t>dior-030[■熨斗(のし)のご希望は、下記へ詳細をご記入下さい(対象商品のみ)。:]【水引の下(連名1)】：【連名2】：【連名3】：Ayaka</t>
  </si>
  <si>
    <t>月317</t>
  </si>
  <si>
    <t>●【巾着(大)付き】●【マーク：バラ】[■熨斗(のし)のご希望は、下記へ詳細をご記入下さい(対象商品のみ)。:]【水引の下(連名1)】：【連名2】：【連名3】：名入れ→Yurina</t>
  </si>
  <si>
    <t>月318</t>
  </si>
  <si>
    <t>mary-223</t>
  </si>
  <si>
    <t>★【mary-223/ｺﾝﾊﾟｸﾄﾐﾗｰ】</t>
  </si>
  <si>
    <t>『2F』『★』【C-3-3】【マリークワント】コンパクトミラー マリーズ ■カラー：デイジーブラック ◆・封筒2・ラピ袋S</t>
  </si>
  <si>
    <t>https://item.rakuten.co.jp/cavatina/mary-223</t>
  </si>
  <si>
    <t>mary-2232022-03-12(土)14時～16時[■熨斗(のし)のご希望は、下記へ詳細をご記入下さい(対象商品のみ)。:]【水引の下(連名1)】：【連名2】：【連名3】：--M.Mahiro---------------------------------------</t>
  </si>
  <si>
    <t>月319</t>
  </si>
  <si>
    <t>●【巾着(大)付き】●【マーク：スマイル】[■熨斗(のし)のご希望は、下記へ詳細をご記入下さい(対象商品のみ)。:]【水引の下(連名1)】：【連名2】：【連名3】：MARIEでお願い致します。</t>
  </si>
  <si>
    <t>月320</t>
  </si>
  <si>
    <t>●【巾着(大)付き】●【マーク：流れ星】内容⇒【sawako】[■熨斗(のし)のご希望は、下記へ詳細をご記入下さい(対象商品のみ)。:]【水引の下(連名1)】：【連名2】：【連名3】：さわこでお願いします</t>
  </si>
  <si>
    <t>月321</t>
  </si>
  <si>
    <t>●【内容:Mao  K.】[■熨斗(のし)のご希望は、下記へ詳細をご記入下さい(対象商品のみ)。:]【水引の下(連名1)】：【連名2】：【連名3】：</t>
  </si>
  <si>
    <t>月322</t>
  </si>
  <si>
    <t>cosme-023●【マーク：バラ】●【シャネル包装紙ラッピング済】[■熨斗(のし)のご希望は、下記へ詳細をご記入下さい(対象商品のみ)。:]【水引の下(連名1)】：【連名2】：【連名3】：Kasumi</t>
  </si>
  <si>
    <t>月323</t>
  </si>
  <si>
    <t>parfum-201[■熨斗(のし)のご希望は、下記へ詳細をご記入下さい(対象商品のみ)。:]【水引の下(連名1)】：【連名2】：【連名3】：Maco</t>
  </si>
  <si>
    <t>月324</t>
  </si>
  <si>
    <t>cosme-202-0-s</t>
  </si>
  <si>
    <t>★【cosme-202/s/ｼｬﾈﾙ ﾎﾞｰﾑｴｻﾝｼｴﾙ】</t>
  </si>
  <si>
    <t>『2F』『★』【AK-4-4】【シャネル】ボーム エサンシエル ■カラー：スカルプティング ■JAN:3145891690606 ◆・封筒3・板小・ラピ袋S</t>
  </si>
  <si>
    <t>https://item.rakuten.co.jp/cavatina/cosme-202</t>
  </si>
  <si>
    <t>cosme-202-0-s●【マーク：ハート】[■熨斗(のし)のご希望は、下記へ詳細をご記入下さい(対象商品のみ)。:]【水引の下(連名1)】：【連名2】：【連名3】：ERI&amp;#9825;</t>
  </si>
  <si>
    <t>月325</t>
  </si>
  <si>
    <t>cosme-046-0-174</t>
  </si>
  <si>
    <t>●【cosme-046/174/ﾙｰｼﾞｭｱﾘｭｰﾙ】</t>
  </si>
  <si>
    <t>『2F』『★』【AK-3-2】【シャネル】口紅 ルージュ アリュール ■カラー：174/ルージュアンジェリック ■JAN: 3145891601749 ◆・封筒3・板小・ラピ袋S</t>
  </si>
  <si>
    <t>https://item.rakuten.co.jp/cavatina/cosme-046</t>
  </si>
  <si>
    <t>cosme-046-0-174●【マーク：バラ】[■熨斗(のし)のご希望は、下記へ詳細をご記入下さい(対象商品のみ)。:]【水引の下(連名1)】：【連名2】：【連名3】：名入れをお願いしますKaori</t>
  </si>
  <si>
    <t>内容⇒【(商品3)cosme-046-0-174】</t>
  </si>
  <si>
    <t>月326</t>
  </si>
  <si>
    <t>●【巾着(大)付き】●【マーク：スマイル】内容⇒【michiko】[■熨斗(のし)のご希望は、下記へ詳細をご記入下さい(対象商品のみ)。:]【水引の下(連名1)】：【連名2】：【連名3】：みちこでお願いします</t>
  </si>
  <si>
    <t>月327</t>
  </si>
  <si>
    <t>parfum-157</t>
  </si>
  <si>
    <t>★【parfum-157/ｸﾞｯﾁ ｷﾞﾙﾃｨ ﾌﾟｰﾙｵﾑ EDT 50ml】</t>
  </si>
  <si>
    <t>『C-E7』【グッチ】香水 ギルティ プールオム EDT 50ml ■JAN:737052339207/4517989101858 ◆・宅配小・プチ小・板大・割物注意・ラピ袋M</t>
  </si>
  <si>
    <t>https://item.rakuten.co.jp/cavatina/parfum-157</t>
  </si>
  <si>
    <t>parfum-157[■熨斗(のし)のご希望は、下記へ詳細をご記入下さい(対象商品のみ)。:]【水引の下(連名1)】：【連名2】：【連名3】：Taiga金曜日に必要なので。木曜日までに発送不可能の場合連絡いただきたいです。</t>
  </si>
  <si>
    <t>月328</t>
  </si>
  <si>
    <t>●【巾着(大)付き】●【内容:Noriko】●【マーク:ハート】2022-03-12(土)[■熨斗(のし)のご希望は、下記へ詳細をご記入下さい(対象商品のみ)。:]【水引の下(連名1)】：【連名2】：【連名3】：</t>
  </si>
  <si>
    <t>月329</t>
  </si>
  <si>
    <t>hana-096-0-br</t>
  </si>
  <si>
    <t>●【hana-096-0-br】</t>
  </si>
  <si>
    <t>【アリスフラワー】木製ボールペン ■カラー:ブラウン ■JAN:4573152422755</t>
  </si>
  <si>
    <t>https://item.rakuten.co.jp/cavatina/hana-096/</t>
  </si>
  <si>
    <t>hana-096-0-br●【内容:saho】[■熨斗(のし)のご希望は、下記へ詳細をご記入下さい(対象商品のみ)。:]【水引の下(連名1)】：【連名2】：【連名3】：名入れ：sahoラッピング希望共にオプション購入入れておりますよろしくお願い致します</t>
  </si>
  <si>
    <t>内容⇒【(商品3)hana-096-0-br】</t>
  </si>
  <si>
    <t>月330</t>
  </si>
  <si>
    <t>dior-031</t>
  </si>
  <si>
    <t>●【(dior-031)ディオール ギフトBOX入り】</t>
  </si>
  <si>
    <t>『2F』『★』【B-1-4】【ディオール】ミス ディオール ハンド クリーム ＆アディクト リップ マキシマイザー #001 ■JAN:2125391120286 ■箱入り ◆・宅配小・プチ小・ラピ袋M</t>
  </si>
  <si>
    <t>https://item.rakuten.co.jp/cavatina/dior-031</t>
  </si>
  <si>
    <t>dior-031[■熨斗(のし)のご希望は、下記へ詳細をご記入下さい(対象商品のみ)。:]【水引の下(連名1)】：【連名2】：【連名3】：Anna</t>
  </si>
  <si>
    <t>月331</t>
  </si>
  <si>
    <t>cosme-023●【内容:Y.Miyako】●【マーク:肉球】[■熨斗(のし)のご希望は、下記へ詳細をご記入下さい(対象商品のみ)。:]【水引の下(連名1)】：【連名2】：【連名3】：</t>
  </si>
  <si>
    <t>月332</t>
  </si>
  <si>
    <t>chanel-003-0-124</t>
  </si>
  <si>
    <t>★【chanel-003/124/ｼｬﾈﾙ ｺｺﾌﾗｯｼｭ】</t>
  </si>
  <si>
    <t>『2F』『★』【AK-2-7】【シャネル】口紅 ルージュ ココ フラッシュ ■カラー：124/ヴィブラン ■JAN:3145891741247 ◆・封筒3・板小・ラピ袋S</t>
  </si>
  <si>
    <t>https://item.rakuten.co.jp/cavatina/chanel-003</t>
  </si>
  <si>
    <t>chanel-003-0-124●【マーク：肉球】[■熨斗(のし)のご希望は、下記へ詳細をご記入下さい(対象商品のみ)。:]【水引の下(連名1)】：【連名2】：【連名3】：名入れ「Tukasa」でお願いします。ホワイトデーラッピングができればお願いしたいです。</t>
  </si>
  <si>
    <t>月333</t>
  </si>
  <si>
    <t>baccarat-1602022-03-12(土)[■熨斗(のし)のご希望は、下記へ詳細をご記入下さい(対象商品のみ)。:]【水引の下(連名1)】：【連名2】：【連名3】：名入れ:Shogoよろしくお願いいたします。-----------------</t>
  </si>
  <si>
    <t>月334</t>
  </si>
  <si>
    <t>★【baccarat-007/2客】</t>
  </si>
  <si>
    <t>『D-01』『★』【バカラ】2客 シャトーバカラ タンブラーS セット 2809867∵ ◆・G箱・緩衝材・プチシート・割物注意</t>
  </si>
  <si>
    <t>https://item.rakuten.co.jp/cavatina/baccarat-007</t>
  </si>
  <si>
    <t>baccarat-007●【ボックス/薔薇】●【メッセージ/Tank You】[■熨斗(のし)のご希望は、下記へ詳細をご記入下さい(対象商品のみ)。:]【水引の下(連名1)】：【連名2】：【連名3】：1つ目：first star of I2つ目：first star of T</t>
  </si>
  <si>
    <t>内容⇒【(商品4)baccarat-007】</t>
  </si>
  <si>
    <t>月335</t>
  </si>
  <si>
    <t>cosme-209-0-610</t>
  </si>
  <si>
    <t>★【cosme-209/610/YSLﾘｷｯﾄﾞﾙｰｼﾞｭ ｳﾞｪﾙﾆｳｫｰﾀｰｽﾃｲﾝ】</t>
  </si>
  <si>
    <t>『2F』『★』【AK-1-9】【YSL】口紅 ルージュ ピュールクチュール ヴェルニ ウォーターステイン ■カラー：610/ヌードアンダーウォーター ■JAN:3614272556515 ◆・封筒3・板小・ラピ袋S</t>
  </si>
  <si>
    <t>https://item.rakuten.co.jp/cavatina/cosme-209</t>
  </si>
  <si>
    <t>cosme-209-0-610[■熨斗(のし)のご希望は、下記へ詳細をご記入下さい(対象商品のみ)。:]【水引の下(連名1)】：【連名2】：【連名3】：mai</t>
  </si>
  <si>
    <t>月336</t>
  </si>
  <si>
    <t>baccarat-137内容⇒【T(ハートマーク)Y 2022.3.9】[■熨斗(のし)のご希望は、下記へ詳細をご記入下さい(対象商品のみ)。:]【水引の下(連名1)】：【連名2】：【連名3】：※名入れにつきまして名入れはこちらでお願いします。スペースやバランスなどは見栄え良くなるよう、お任せいたします。T&amp;#9825;Y 2022.3.9アルファベットは筆記体にてお願いいたします。※発送につきましてスーパーセール期間中で大変お忙しいと存じます。そのような中、大変恐縮ですが、可能な限り早めの発送をお願いできましたら幸いです。よろしくお願いいたします。</t>
  </si>
  <si>
    <t>月337</t>
  </si>
  <si>
    <t>cosme-040-0-9</t>
  </si>
  <si>
    <t>★【cosme-040/9/ｳﾞｫﾘｭﾌﾟﾃｼｬｲﾝ】</t>
  </si>
  <si>
    <t>『2F』『★』【AK-1-1】【YSL】口紅 ルージュ ヴォリュプテ シャイン ■カラー：9/ヌードシアー ■JAN: 3365440197831 ◆・封筒3・板小・ラピ袋S</t>
  </si>
  <si>
    <t>https://item.rakuten.co.jp/cavatina/cosme-040</t>
  </si>
  <si>
    <t>cosme-040-0-9●【マーク：希望しない】[■熨斗(のし)のご希望は、下記へ詳細をご記入下さい(対象商品のみ)。:]【水引の下(連名1)】：【連名2】：【連名3】：Kiyomi</t>
  </si>
  <si>
    <t>月338</t>
  </si>
  <si>
    <t>par-001-0-rd-gt●【内容1:KOUYA】●【フォント:筆記体】[■熨斗(のし)のご希望は、下記へ詳細をご記入下さい(対象商品のみ)。:]【水引の下(連名1)】：【連名2】：【連名3】：</t>
  </si>
  <si>
    <t>内容⇒【(商品2)par-001-0-rd-gt】</t>
  </si>
  <si>
    <t>月339</t>
  </si>
  <si>
    <t>●【巾着(大)付き】●【内容:Aya】●【マーク:ハート】[■熨斗(のし)のご希望は、下記へ詳細をご記入下さい(対象商品のみ)。:]【水引の下(連名1)】：【連名2】：【連名3】：</t>
  </si>
  <si>
    <t>月340</t>
  </si>
  <si>
    <t>lamy-021</t>
  </si>
  <si>
    <t>●【lamy-021】</t>
  </si>
  <si>
    <t>『2F』【I-4-5】【ラミー】ボールペン プレミエステンレス 2000 L202S BP ◆・宅配小・プチ小・ラピ袋M</t>
  </si>
  <si>
    <t>https://item.rakuten.co.jp/cavatina/lamy-021/</t>
  </si>
  <si>
    <t>lamy-021●【内容1:T.N】●【フォント:筆記体】[■熨斗(のし)のご希望は、下記へ詳細をご記入下さい(対象商品のみ)。:]【水引の下(連名1)】：【連名2】：【連名3】：</t>
  </si>
  <si>
    <t>内容⇒【(商品3)lamy-021】</t>
  </si>
  <si>
    <t>月341</t>
  </si>
  <si>
    <t>●【巾着(大)付き】●【内容:Chikako】●【マーク:ハート】[■熨斗(のし)のご希望は、下記へ詳細をご記入下さい(対象商品のみ)。:]【水引の下(連名1)】：【連名2】：【連名3】：</t>
  </si>
  <si>
    <t>月342</t>
  </si>
  <si>
    <t>●【巾着(小)付き】●【マーク：希望しない】[■熨斗(のし)のご希望は、下記へ詳細をご記入下さい(対象商品のみ)。:]【水引の下(連名1)】：【連名2】：【連名3】：名入れ Miki でお願いします。</t>
  </si>
  <si>
    <t>月343</t>
  </si>
  <si>
    <t>●【シャネル包装紙ラッピング済】[■熨斗(のし)のご希望は、下記へ詳細をご記入下さい(対象商品のみ)。:]【水引の下(連名1)】：【連名2】：【連名3】：mari</t>
  </si>
  <si>
    <t>月344</t>
  </si>
  <si>
    <t>●【マーク：キスマーク】2022-03-12(土)[■熨斗(のし)のご希望は、下記へ詳細をご記入下さい(対象商品のみ)。:]【水引の下(連名1)】：【連名2】：【連名3】：Ayaka</t>
  </si>
  <si>
    <t>月345</t>
  </si>
  <si>
    <t>parfum-493</t>
  </si>
  <si>
    <t>★【parfum-493/ｴﾙﾒｽ ﾛｰｽﾞｲｹﾊﾞﾅ】</t>
  </si>
  <si>
    <t>『2F』『★』【K-1-2】【エルメス】香水 ローズ イケバナ EDT 15ml ■JAN: 2167401110108 ◆・宅配小・プチ小・板大・割物注意・ラピ袋S</t>
  </si>
  <si>
    <t>https://item.rakuten.co.jp/cavatina/parfum-493</t>
  </si>
  <si>
    <t>parfum-493●【内容:Chisaki】[■熨斗(のし)のご希望は、下記へ詳細をご記入下さい(対象商品のみ)。:]【水引の下(連名1)】：【連名2】：【連名3】：</t>
  </si>
  <si>
    <t>月346</t>
  </si>
  <si>
    <t>hana-071-0-cidbl●【フォント：筆記体】内容⇒【A.clear】[■熨斗(のし)のご希望は、下記へ詳細をご記入下さい(対象商品のみ)。:]【水引の下(連名1)】：由本興業【連名2】：【連名3】：開店祝いの贈り物です。A.clearは店の名前なのでできるだけ大きく名入れ希望です。よろしくお願いいたします</t>
  </si>
  <si>
    <t>内容⇒【希望です。よろしくお願いいたします】</t>
  </si>
  <si>
    <t>内容⇒【(商品2)hana-071-0-cidbl】</t>
  </si>
  <si>
    <t>月347</t>
  </si>
  <si>
    <t>cosme-071</t>
  </si>
  <si>
    <t>★【cosme-071/ｼﾞﾙ ｺﾝﾊﾟｸﾄﾐﾗｰ/ｻｰｸﾙ】</t>
  </si>
  <si>
    <t>『2F』『★』【B-1-4】【ジルスチュアート】ミラー 2 23579 ■JAN: 4971710235791 ◆・封筒2・ラピ袋M</t>
  </si>
  <si>
    <t>https://item.rakuten.co.jp/cavatina/cosme-071</t>
  </si>
  <si>
    <t>cosme-071●【内容:Cocoha】2022-03-12(土)[■熨斗(のし)のご希望は、下記へ詳細をご記入下さい(対象商品のみ)。:]【水引の下(連名1)】：【連名2】：【連名3】：ミラーへの名入れをお願いします。またプレゼントとして直接相手方に届けていただくので金額がわかるものは入れないで下さい。よろしくお願いします。</t>
  </si>
  <si>
    <t>内容⇒【(商品3)cosme-071】</t>
  </si>
  <si>
    <t>月348</t>
  </si>
  <si>
    <t>parfum-479●【1点目1行目:Happy Birthday】●【1点目2行目:Kunio】●【1点目3行目:2022.3.11】2022-03-12(土)[■熨斗(のし)のご希望は、下記へ詳細をご記入下さい(対象商品のみ)。:]【水引の下(連名1)】：【連名2】：【連名3】：</t>
  </si>
  <si>
    <t>内容3行目⇒【2022.3.11】</t>
  </si>
  <si>
    <t>月349</t>
  </si>
  <si>
    <t>●【シャネル包装紙ラッピング済】●【内容:Natsume】2022-03-12(土)[■熨斗(のし)のご希望は、下記へ詳細をご記入下さい(対象商品のみ)。:]【水引の下(連名1)】：【連名2】：【連名3】：</t>
  </si>
  <si>
    <t>月350</t>
  </si>
  <si>
    <t>marimekko-024-st-0-017</t>
  </si>
  <si>
    <t>★【marimekko-024-st-0-017/ﾌﾞﾙｰ】</t>
  </si>
  <si>
    <t>『D-05』【マリメッコ】マグカップ ウニッコ■カラー：ブルー/063431-017 ∵ ■JAN:411253280172 ◆・宅配大・プチシート・割物注意・ラピ袋M</t>
  </si>
  <si>
    <t>https://item.rakuten.co.jp/cavatina/marimekko-024</t>
  </si>
  <si>
    <t>marimekko-024-st-0-017●【内容:Kaori】[■熨斗(のし)のご希望は、下記へ詳細をご記入下さい(対象商品のみ)。:]【水引の下(連名1)】：【連名2】：【連名3】：領収書をお願い致します。</t>
  </si>
  <si>
    <t>月351</t>
  </si>
  <si>
    <t>tsurumi-120-0-yoko</t>
  </si>
  <si>
    <t>★【tsurumi-120-0-yoko】</t>
  </si>
  <si>
    <t>【鶴三工房】木札 ■種類:横(よこ)型 ■JAN: 4573250068008 ◆・封筒3</t>
  </si>
  <si>
    <t>tsurumi-120-0-yoko●【横（よこ）型】●【希望する/無料】●【内容:望乃 令和二年十二月十四日】●【UV印刷】●【ひなまつり（さくら）】[■熨斗(のし)のご希望は、下記へ詳細をご記入下さい(対象商品のみ)。:]【水引の下(連名1)】：【連名2】：【連名3】：</t>
  </si>
  <si>
    <t>月352</t>
  </si>
  <si>
    <t>●【宅急便】●【巾着(大)付き】●【希望する/無料】●【内容:Noa】●【マーク:ハート】[■熨斗(のし)のご希望は、下記へ詳細をご記入下さい(対象商品のみ)。:]【水引の下(連名1)】：【連名2】：【連名3】：</t>
  </si>
  <si>
    <t>月353</t>
  </si>
  <si>
    <t>tiffany-149</t>
  </si>
  <si>
    <t>●【tiffany-149/ｴﾌﾞﾘﾃﾞｲ ｵﾌﾞｼﾞｪｸﾄ ﾍﾟｰﾊﾟｰｶｯﾌﾟ】</t>
  </si>
  <si>
    <t>『D-04』『★』【ティファニー】カップ エブリデイ オブジェクト ペーパーカップ ボーンチャイナ 2個セット ∵ ◆・G箱・緩衝材・プチシート・割物注意</t>
  </si>
  <si>
    <t>https://item.rakuten.co.jp/cavatina/tiffany-149</t>
  </si>
  <si>
    <t>1点目⇒【S】2点目⇒【A O】tiffany-149【のし】★【結婚内祝】[■熨斗(のし)のご希望は、下記へ詳細をご記入下さい(対象商品のみ)。:]【水引の下(連名1)】：【連名2】：【連名3】：</t>
  </si>
  <si>
    <t>月354</t>
  </si>
  <si>
    <t>cosme-071[■熨斗(のし)のご希望は、下記へ詳細をご記入下さい(対象商品のみ)。:]【水引の下(連名1)】：【連名2】：【連名3】：Rio</t>
  </si>
  <si>
    <t>月355</t>
  </si>
  <si>
    <t>●【巾着(小)付き】●【マーク：スマイル】[■熨斗(のし)のご希望は、下記へ詳細をご記入下さい(対象商品のみ)。:]【水引の下(連名1)】：【連名2】：【連名3】：名前misaki</t>
  </si>
  <si>
    <t>月356</t>
  </si>
  <si>
    <t>cosme-173-0-70●【マーク：バラ】[■熨斗(のし)のご希望は、下記へ詳細をご記入下さい(対象商品のみ)。:]【水引の下(連名1)】：【連名2】：【連名3】：名入れはYouko</t>
  </si>
  <si>
    <t>内容⇒【(商品3)cosme-173-0-70】</t>
  </si>
  <si>
    <t>月357</t>
  </si>
  <si>
    <t>●【巾着(大)付き】2022-03-12(土)[■熨斗(のし)のご希望は、下記へ詳細をご記入下さい(対象商品のみ)。:]【水引の下(連名1)】：【連名2】：【連名3】：Yuuka</t>
  </si>
  <si>
    <t>月358</t>
  </si>
  <si>
    <t>[■熨斗(のし)のご希望は、下記へ詳細をご記入下さい(対象商品のみ)。:]【水引の下(連名1)】：【連名2】：【連名3】：名入れはMakikoでお願いします</t>
  </si>
  <si>
    <t>月359</t>
  </si>
  <si>
    <t>cosme-173-0-70●【内容:Kumie】[■熨斗(のし)のご希望は、下記へ詳細をご記入下さい(対象商品のみ)。:]【水引の下(連名1)】：【連名2】：【連名3】：</t>
  </si>
  <si>
    <t>月360</t>
  </si>
  <si>
    <t>★【baccarat-067/1客】</t>
  </si>
  <si>
    <t>『D-02』『★』【バカラ】1客 ミルニュイ ハイボール 2811815∵ ◆・G箱・緩衝材・プチシート・割物注意</t>
  </si>
  <si>
    <t>https://item.rakuten.co.jp/cavatina/baccarat-067</t>
  </si>
  <si>
    <t>baccarat-067【のし】★【寿】2022-03-12(土)[■熨斗(のし)のご希望は、下記へ詳細をご記入下さい(対象商品のみ)。:]【水引の下(連名1)】：良太【連名2】：友理絵【連名3】：名入れ:Katsuhiro</t>
  </si>
  <si>
    <t>内容⇒【(商品3)baccarat-067】</t>
  </si>
  <si>
    <t>月361</t>
  </si>
  <si>
    <t xml:space="preserve">●【巾着(小)付き】●【マーク：バラ】2022-03-15(火)14:00-16:00[■熨斗(のし)のご希望は、下記へ詳細をご記入下さい(対象商品のみ)。:]【水引の下(連名1)】：【連名2】：【連名3】：Miyu </t>
  </si>
  <si>
    <t>月362</t>
  </si>
  <si>
    <t>●【巾着(大)付き】●【マーク：スマイル】[■熨斗(のし)のご希望は、下記へ詳細をご記入下さい(対象商品のみ)。:]【水引の下(連名1)】：【連名2】：【連名3】：名前は　JUNKOマークは　スマイルで刻印お願いします。</t>
  </si>
  <si>
    <t>月363</t>
  </si>
  <si>
    <t>cosme-134●【シャネル包装紙ラッピング済】●【内容:Aki.K】2022-03-13(日)[■熨斗(のし)のご希望は、下記へ詳細をご記入下さい(対象商品のみ)。:]【水引の下(連名1)】：【連名2】：【連名3】：</t>
  </si>
  <si>
    <t>月364</t>
  </si>
  <si>
    <t>cosme-044-0-001</t>
  </si>
  <si>
    <t>●【cosme-044/001/Dior ｱﾃﾞｨｸﾄ ﾘｯﾌﾟ ｸﾞﾛｳ】</t>
  </si>
  <si>
    <t>『2F』『★』【AK-5-7】【ディオール】クリスチャンディオール ディオール アディクト リップ グロウ ■カラー:001/ピンク ■JAN:3348900898844/3348901550628 ◆・封筒3・板小・ラピ袋S</t>
  </si>
  <si>
    <t>https://item.rakuten.co.jp/cavatina/cosme-044</t>
  </si>
  <si>
    <t>cosme-044-0-001[■熨斗(のし)のご希望は、下記へ詳細をご記入下さい(対象商品のみ)。:]【水引の下(連名1)】：【連名2】：【連名3】：りり</t>
  </si>
  <si>
    <t>月365-1</t>
  </si>
  <si>
    <t>●【巾着(小)付き】●【マーク：希望しない】●【巾着(小)付き】内容⇒【Junna】内容⇒【Yuumi】[■熨斗(のし)のご希望は、下記へ詳細をご記入下さい(対象商品のみ)。:]【水引の下(連名1)】：【連名2】：【連名3】：JunnaYuumi</t>
  </si>
  <si>
    <t>月365-2</t>
  </si>
  <si>
    <t>月366</t>
  </si>
  <si>
    <t>●【巾着(大)付き】●【内容:Ayumi】●【マーク:ハート】[■熨斗(のし)のご希望は、下記へ詳細をご記入下さい(対象商品のみ)。:]【水引の下(連名1)】：【連名2】：【連名3】：</t>
  </si>
  <si>
    <t>月367</t>
  </si>
  <si>
    <t>●【ボックス/パリの街並み】●【メッセージ/Happy Wedding】1点目⇒【Happy Wedding　Mar 12th， 2022】2点目⇒【Happy Wedding　Mar 12th， 2022】[■熨斗(のし)のご希望は、下記へ詳細をご記入下さい(対象商品のみ)。:]【水引の下(連名1)】：黒川　至仁【連名2】：【連名3】：Happy Wedding　Mar 12th， 2022</t>
  </si>
  <si>
    <t>内容⇒【(商品4)baccarat-011】</t>
  </si>
  <si>
    <t>月368</t>
  </si>
  <si>
    <t>baccarat-161●【フチ取り/逆彫り】●【筆記体】●【ボックス/薔薇】●【メッセージ/Thank you】2022-03-21(月)[■熨斗(のし)のご希望は、下記へ詳細をご記入下さい(対象商品のみ)。:]【水引の下(連名1)】：【連名2】：【連名3】：</t>
  </si>
  <si>
    <t>月369</t>
  </si>
  <si>
    <t>●【マーク：リボン】2022-03-12(土)[■熨斗(のし)のご希望は、下記へ詳細をご記入下さい(対象商品のみ)。:]【水引の下(連名1)】：【連名2】：【連名3】：Yuki</t>
  </si>
  <si>
    <t>月370</t>
  </si>
  <si>
    <t>価格のわかるものをいれないでください。・名入れ1点につき有料(1100円)で ：即日配送不可・2～3営業日の出荷になります/代引き不可・名入れ内容を記載してください(6文字) ：Maiko・この商品は包装紙ラッピング済です ：●【シャネル包装紙ラッピング済】・シャネルのショッパー(紙袋)を無料で ：(品切れにより休止中)</t>
  </si>
  <si>
    <t>月371</t>
  </si>
  <si>
    <t>cosme-188-0-468●【内容:yuka】●【マーク:バラ】[■熨斗(のし)のご希望は、下記へ詳細をご記入下さい(対象商品のみ)。:]【水引の下(連名1)】：【連名2】：【連名3】：</t>
  </si>
  <si>
    <t>Bフチ取り 逆彫り</t>
  </si>
  <si>
    <t>avedaﾐﾆ</t>
  </si>
  <si>
    <t>UV</t>
  </si>
  <si>
    <t>aveda大</t>
  </si>
  <si>
    <t>つるみ</t>
  </si>
  <si>
    <t>その他</t>
  </si>
  <si>
    <t>baccarat-160●【フチ取り/逆彫り】●【明朝体】★【熨斗】2022-03-11(金)　【水引の下(連名1)】：父【連名2】：母【連名3】：めぐみ祝退職　ひとみ　2022.3.31</t>
  </si>
  <si>
    <t>jillstuart-024-0-012022-03-11(金)　名前希望です。ローマ字の筆記体でShouko(しょうこ)を希望的です。</t>
  </si>
  <si>
    <t>1行目⇒【Congratulations　on　your　marriage.】2行目⇒【2022.2.2】3行目⇒【Takahiro(塗りつぶしハート)Yuuna】hana-075-0-whpk●【刻印位置:ガラスに名入れする/1100円】●【フォント:筆記体】●【１行目（上段）:2022.2.2】●【２行目（下段）:TakahiroYuuna】【店舗発行クーポン利用額】1000【のし】★【御結婚御祝】　【水引の下(連名1)】：岡田繁範【連名2】：【連名3】：筆記体でガラス面1段目にCongratulations　on　your　marriage.2段目に2022.2.23段目にTakahiro&amp;#9829;&amp;#65039;Yuunaを希望。</t>
  </si>
  <si>
    <t>jillstuart-015【のし】★【寿】　【水引の下(連名1)】：橋本【連名2】：小林【連名3】：グラスに名入れオプション :   YASUMASAグラスに名入れオプション :   KANA</t>
  </si>
  <si>
    <t>baccarat-138●【フチ取り/逆彫り】●【筆記体】★【熨斗】　【水引の下(連名1)】：羽田航空基地　職員一同【連名2】：【連名3】：名入れ: 一つ目:2022 JCG HANEDA           二つ目:KAWAGUCHI----------------------------------------</t>
  </si>
  <si>
    <t>cosme-094　名入れはyukaでお願いします。</t>
  </si>
  <si>
    <t>hana-071-0-cidbl●【フォント：筆記体】内容⇒【A.clear】　【水引の下(連名1)】：由本興業【連名2】：【連名3】：開店祝いの贈り物です。A.clearは店の名前なのでできるだけ大きく名入れ希望です。よろしくお願いいたします</t>
  </si>
  <si>
    <t>baccarat-067【のし】★【寿】2022-03-12(土)　【水引の下(連名1)】：良太【連名2】：友理絵【連名3】：名入れ:Katsuhiro</t>
  </si>
  <si>
    <t>●【ボックス/パリの街並み】●【メッセージ/Happy Wedding】1点目⇒【Happy Wedding　Mar 12th， 2022】2点目⇒【Happy Wedding　Mar 12th， 2022】　【水引の下(連名1)】：黒川　至仁【連名2】：【連名3】：Happy Wedding　Mar 12th， 2022</t>
  </si>
  <si>
    <t>内容⇒【miku】cosme-094cos-333　　</t>
  </si>
  <si>
    <t>cosme-039-0-4●【マーク：肉球】内容⇒【K.niina】【楽天発行クーポン利用額】1500　　</t>
  </si>
  <si>
    <t>内容⇒【Takeshi Maeda】baccarat-160●【フチ取り/逆彫り】●【筆記体】　　</t>
  </si>
  <si>
    <t>cosme-030-0-416●【内容:Nozomi】●【マーク:バラ】2022-03-10(木)　　</t>
  </si>
  <si>
    <t>内容⇒【M.yuuka】　　</t>
  </si>
  <si>
    <t>1点目⇒【祝　古希　洋子&amp;陽一】2点目⇒【祝　古希　洋子&amp;陽一】baccarat-018●【ボックス/フレーム】●【フチ取り/逆彫り】●【明朝体】2022-03-19(土)　　</t>
  </si>
  <si>
    <t>baccarat-161●【フチ取り/逆彫り】●【明朝体】●【ボックス/パリの街並み】　　1個目…　朝人　、　2個目…　和子　　　　　　</t>
  </si>
  <si>
    <t>cosme-172-0-83●【マーク：希望しない】内容⇒【Misaki】2022-03-12(土)　　</t>
  </si>
  <si>
    <t>Rinka　　</t>
  </si>
  <si>
    <t>hana-070-0-elsa●【内容:Nanami.S】　　</t>
  </si>
  <si>
    <t>2022-03-11(金)　　Aren</t>
  </si>
  <si>
    <t>●【マーク：サクラ】　　名入れ: Yuka</t>
  </si>
  <si>
    <t>hana-070-0-tink●【内容:Rie.Y】2022-03-11(金)　　</t>
  </si>
  <si>
    <t>1点目⇒【A dick for all.】2点目⇒【All for a dick.】●【フチ取り/逆彫り】●【筆記体】baccarat-161　　名入れはそれぞれ下記の通りお願いします。1.  A dick for all.2.  All for a dick.</t>
  </si>
  <si>
    <t>baccarat-138●【ボックス/パリの街並み】●【メッセージ/Tank You】1点目⇒【takahiro  teacher 1984】2点目⇒【From  your  students】2022-03-18(金)　　</t>
  </si>
  <si>
    <t>内容⇒【Shiori（キスマーク）】cosme-030-0-412●【マーク：キスマーク】　　Shiori&amp;#128139;-------------------------------------</t>
  </si>
  <si>
    <t>baccarat-161●【ボックス/パリの街並み】　　</t>
  </si>
  <si>
    <t>baccarat-030●【筆記体】　　名入れATSUMI</t>
  </si>
  <si>
    <t>baccarat-161●【ボックス/パリの街並み】●【メッセージ/Happy Wedding】　　</t>
  </si>
  <si>
    <t>hana-070-0-slb2022-03-16(水)　Hiroko　　</t>
  </si>
  <si>
    <t>●【内容:Sayataso】　　</t>
  </si>
  <si>
    <t>parfum-198●【内容:HAZUKI】【楽天発行クーポン利用額】50　　</t>
  </si>
  <si>
    <t>paul-286-0-390【楽天発行クーポン利用額】50「Y.Nakamura」と名入れをお願いします。購入方法の説明画像を確認しましたが、専用フォームが見当たりませんでした。　　</t>
  </si>
  <si>
    <t>cosme-186-0-667●【内容:I.Syaka】　　</t>
  </si>
  <si>
    <t>baccarat-148●【1行目:Keiko】　　</t>
  </si>
  <si>
    <t>●【1点目1行目:HAPPY】●【1点目2行目:YUKARI】●【1点目3行目:2022.3.2】　　</t>
  </si>
  <si>
    <t>hana-070-0-cidKARNA　　</t>
  </si>
  <si>
    <t>cosme-094●【内容:Mako】　　</t>
  </si>
  <si>
    <t>1点目⇒【祝 金婚式　Shinobu&amp;Mayumi】2点目⇒【祝 金婚式　Shinobu&amp;Mayumi】●【フチ取り/逆彫り】●【筆記体】baccarat-1612022-03-12(土)。祝 金婚式　Shinobu&amp;Mayumi2客とも上記のメッセージ刻印お願いします　　</t>
  </si>
  <si>
    <t>hana-070-0-rap名入れ：mie Shimojo　　</t>
  </si>
  <si>
    <t>cosme-054-0-728●【内容:ayako】●【マーク:サクラ】　　</t>
  </si>
  <si>
    <t>baccarat-153●【フチ取り/逆彫り】●【筆記体】●【内容:POWER】●【ブランドラッピングを希望する】●【ボックス/フレーム】●【メッセージ/Happy Birthday】　　</t>
  </si>
  <si>
    <t>baccarat-153●【フチ取り/逆彫り】●【筆記体】●【内容:祝定年退職　仙台西基地一同】2022-03-12(土)　　</t>
  </si>
  <si>
    <t>cosme-186-0-859●【内容:hinako】　　</t>
  </si>
  <si>
    <t>samantha-117-0-yl　　N.ｗａｋａｎａ卒業祝いです。</t>
  </si>
  <si>
    <t>annasui-033※刻印・名入れは作業に1日かかる為、あす楽・指定日は不可です。　　名入れ希望→　Kinuka</t>
  </si>
  <si>
    <t>lamy-003●【フォント：筆記体】　　名入れはI.Hiromiでお願いします。</t>
  </si>
  <si>
    <t>hana-075-0-whrd●【木枠に名入れする】●【フォント：明朝体】上段⇒【thank you yukimi(ハートマーク)】下段⇒【感謝を込めて　2022.3.31】2022-03-12(土)　　名入れ1100円　ラッピング550円希望上段にthank you yukimi&amp;#9825;下段に　感謝を込めて　2022.3.31宜しくお願いします</t>
  </si>
  <si>
    <t>samantha-033-0-yl　　名入れ:Keina</t>
  </si>
  <si>
    <t>hana-070-0-rap内容⇒【D.Yukiko】　　複数購入のバナーが出て来ません。以下のサイトも見ましたがよく分かりませんでした…。名入れしたいです。有料認識済みです。D.Yukikoで、お願いします。</t>
  </si>
  <si>
    <t>parfum-555　　Chika.K</t>
  </si>
  <si>
    <t>dwf-002-0-rd●【内容:Haruki】　　</t>
  </si>
  <si>
    <t>内容⇒【Happy retirement 2022.3.24】baccarat-153●【フチ取り/逆彫り】●【筆記体】●【内容:Happy retirement】●　　名入れの部分なんですが、日付も一緒に入れる事できるのであれば、下記内容でお願いします。Happy retirement 2022.3.24</t>
  </si>
  <si>
    <t>baccarat-160●【フチ取り/逆彫り】●【明朝体】　　［名入れ］祝　還暦　2022.03.09</t>
  </si>
  <si>
    <t>jillstuart-024-0-01　　名入れ:Mio</t>
  </si>
  <si>
    <t>jillstuart-024-0-04　　Marino</t>
  </si>
  <si>
    <t>baccarat-160●【ボックス/薔薇】●【メッセージ/Happy Birthday】　　</t>
  </si>
  <si>
    <t>●【マーク：バラ】　　TOMIKO</t>
  </si>
  <si>
    <t>jillstuart-024-0-05　　名前は、Fukaでお願いします。</t>
  </si>
  <si>
    <t>　　名前入れの文字↓ken sayu2021.9.22Together Forever宜しくお願いします。</t>
  </si>
  <si>
    <t>●【マーク：サクラ】　　KOA</t>
  </si>
  <si>
    <t>jillstuart-024-0-01　　Aina</t>
  </si>
  <si>
    <t>cosme-172-0-80●【マーク：キスマーク】2022-03-11(金)　　Nozomi</t>
  </si>
  <si>
    <t>cosme-173-0-70●【マーク：希望しない】　　カラー90ジュール　karinカラー70アティテュード　yuhana</t>
  </si>
  <si>
    <t>　　Ayaka.N----------------------------------</t>
  </si>
  <si>
    <t>baccarat-161　　一つ目　Happy Retirement二つ目　Enjoy your next stage !</t>
  </si>
  <si>
    <t>baccarat-137　　March.2022　Shuichi Yamada</t>
  </si>
  <si>
    <t>hana-002-0-bl●【筆記体】　　Yuki</t>
  </si>
  <si>
    <t>chouette-031-0-nv●【内容:Nami.Y】　　</t>
  </si>
  <si>
    <t>tsurumi-120-0-tate●【縦（たて）型】●【希望する/無料】●【内容:圭人 令和元年十一月七日 生】●【レーザー刻印】●【端午節句（いのしし）】tsurumi-120-0-tate●【縦（たて）型】●【希望する/無料】●【内容:早人  令和三年十月三十一日 生】●【レーザー刻印】●【端午節句（うし）】　　</t>
  </si>
  <si>
    <t>cosme-045　　名入れ2021.rui</t>
  </si>
  <si>
    <t>cosme-030-0-416●【マーク：希望しない】　　Ayaka</t>
  </si>
  <si>
    <t>baccarat-137●【ボックス/薔薇】●【メッセージ/Tank You】2022-03-12(土)　　</t>
  </si>
  <si>
    <t>ronherman-068-rd-cor●【ミラーに名入れする】　　Momono.A</t>
  </si>
  <si>
    <t>cosme-236-0-630　　Megumi</t>
  </si>
  <si>
    <t>　　Mirai</t>
  </si>
  <si>
    <t>baccarat-160●【フチ取り/逆彫り】●【筆記体】●【内容:T.Sato】baccarat-160●【フチ取り/逆彫り】●【筆記体】●【内容:T.Tamura】　　</t>
  </si>
  <si>
    <t>jillstuart-011-0-111　　yuichan---------------------------------</t>
  </si>
  <si>
    <t>1点目⇒【祝　金婚式】2点目⇒【祝　金婚式】baccarat-156●【逆彫り】●【明朝体】2022-03-13(日)　　祝　金婚式</t>
  </si>
  <si>
    <t>baccarat-161●【フチ取り/逆彫り】●【筆記体】●【希望する/2200円】●【1点目:1周年 2022/03/05】●【2点目:1周年 2022/03/05】●　　</t>
  </si>
  <si>
    <t>parfum-479　　Happy Birthday    MASAKI☆             3.17</t>
  </si>
  <si>
    <t>baccarat-160●【フチ取り/逆彫り】●【筆記体】　　Y.Yano</t>
  </si>
  <si>
    <t>parfum-201内容⇒【Rina(ハートマーク)】2022-03-12(土)　　Rina&amp;#9825;</t>
  </si>
  <si>
    <t>baccarat-137●【ボックス/薔薇】●【メッセージ/Tank You】　　Dear Shizue 2022.3.20</t>
  </si>
  <si>
    <t>cosme-037-0-46●【マーク：キスマーク】2022-03-12(土)　　名入れ=ゆき</t>
  </si>
  <si>
    <t>baccarat-002●【フチ取り/逆彫り】●【筆記体】●【内容:M.Ujiie kitakami】●　　</t>
  </si>
  <si>
    <t>　　名前Risa.M---------------------------------------</t>
  </si>
  <si>
    <t>dior-030　　Ayaka</t>
  </si>
  <si>
    <t>mary-2232022-03-12(土)14時～16時　　--M.Mahiro---------------------------------------</t>
  </si>
  <si>
    <t>●【内容:Mao  K.】　　</t>
  </si>
  <si>
    <t>parfum-201　　Maco</t>
  </si>
  <si>
    <t>cosme-202-0-s●【マーク：ハート】　　ERI&amp;#9825;</t>
  </si>
  <si>
    <t>cosme-046-0-174●【マーク：バラ】　　名入れをお願いしますKaori</t>
  </si>
  <si>
    <t>parfum-157　　Taiga金曜日に必要なので。木曜日までに発送不可能の場合連絡いただきたいです。</t>
  </si>
  <si>
    <t>hana-096-0-br●【内容:saho】　　名入れ：sahoラッピング希望共にオプション購入入れておりますよろしくお願い致します</t>
  </si>
  <si>
    <t>dior-031　　Anna</t>
  </si>
  <si>
    <t>cosme-023●【内容:Y.Miyako】●【マーク:肉球】　　</t>
  </si>
  <si>
    <t>chanel-003-0-124●【マーク：肉球】　　名入れ「Tukasa」でお願いします。ホワイトデーラッピングができればお願いしたいです。</t>
  </si>
  <si>
    <t>baccarat-1602022-03-12(土)　　名入れ:Shogoよろしくお願いいたします。-----------------</t>
  </si>
  <si>
    <t>baccarat-007●【ボックス/薔薇】●【メッセージ/Tank You】　　1つ目：first star of I2つ目：first star of T</t>
  </si>
  <si>
    <t>cosme-209-0-610　　mai</t>
  </si>
  <si>
    <t>baccarat-137内容⇒【T(ハートマーク)Y 2022.3.9】　　※名入れにつきまして名入れはこちらでお願いします。スペースやバランスなどは見栄え良くなるよう、お任せいたします。T&amp;#9825;Y 2022.3.9アルファベットは筆記体にてお願いいたします。※発送につきましてスーパーセール期間中で大変お忙しいと存じます。そのような中、大変恐縮ですが、可能な限り早めの発送をお願いできましたら幸いです。よろしくお願いいたします。</t>
  </si>
  <si>
    <t>cosme-040-0-9●【マーク：希望しない】　　Kiyomi</t>
  </si>
  <si>
    <t>par-001-0-rd-gt●【内容1:KOUYA】●【フォント:筆記体】　　</t>
  </si>
  <si>
    <t>lamy-021●【内容1:T.N】●【フォント:筆記体】　　</t>
  </si>
  <si>
    <t>●【マーク：キスマーク】2022-03-12(土)　　Ayaka</t>
  </si>
  <si>
    <t>parfum-493●【内容:Chisaki】　　</t>
  </si>
  <si>
    <t>cosme-071●【内容:Cocoha】2022-03-12(土)　　ミラーへの名入れをお願いします。またプレゼントとして直接相手方に届けていただくので金額がわかるものは入れないで下さい。よろしくお願いします。</t>
  </si>
  <si>
    <t>parfum-479●【1点目1行目:Happy Birthday】●【1点目2行目:Kunio】●【1点目3行目:2022.3.11】2022-03-12(土)　　</t>
  </si>
  <si>
    <t>marimekko-024-st-0-017●【内容:Kaori】　　領収書をお願い致します。</t>
  </si>
  <si>
    <t>tsurumi-120-0-yoko●【横（よこ）型】●【希望する/無料】●【内容:望乃 令和二年十二月十四日】●【UV印刷】●【ひなまつり（さくら）】　　</t>
  </si>
  <si>
    <t>1点目⇒【S】2点目⇒【A O】tiffany-149【のし】★【結婚内祝】　　</t>
  </si>
  <si>
    <t>cosme-071　　Rio</t>
  </si>
  <si>
    <t>cosme-173-0-70●【マーク：バラ】　　名入れはYouko</t>
  </si>
  <si>
    <t>　　名入れはMakikoでお願いします</t>
  </si>
  <si>
    <t>cosme-173-0-70●【内容:Kumie】　　</t>
  </si>
  <si>
    <t>cosme-044-0-001　　りり</t>
  </si>
  <si>
    <t>baccarat-161●【フチ取り/逆彫り】●【筆記体】●【ボックス/薔薇】●【メッセージ/Thank you】2022-03-21(月)　　</t>
  </si>
  <si>
    <t>●【マーク：リボン】2022-03-12(土)　　Yuki</t>
  </si>
  <si>
    <t>cosme-188-0-468●【内容:yuka】●【マーク:バラ】　　</t>
  </si>
  <si>
    <t>cosme-034　　　yuka</t>
  </si>
  <si>
    <t>cosme-023●【マーク：希望しない】　　　名前入れ文字　:  Rei</t>
  </si>
  <si>
    <t>cosme-211　●【内容:Megumi】　　</t>
  </si>
  <si>
    <t>cosme-211　●【内容:Natumi】　　</t>
  </si>
  <si>
    <t>cosme-023　●【マーク:バラ】cosme-023　●【内容:Sakiko】●【マーク:バラ】cosme-023　●【内容:Chise】●【マーク:肉球】cosme-023　●【内容:Sakura】●【マーク:サクラ】　　</t>
  </si>
  <si>
    <t>cosme-023●【マーク：肉球】　　　Y.Ruka</t>
  </si>
  <si>
    <t>cosme-023●【マーク：キスマーク】　　　Yukari</t>
  </si>
  <si>
    <t>cosme-023●【マーク：バラ】　　　OVITZ</t>
  </si>
  <si>
    <t>cosme-023●【マーク：バラ】　　　Kasumi</t>
  </si>
  <si>
    <t>　　　mari</t>
  </si>
  <si>
    <t>　●【内容:Natsume】2022-03-12(土)　　</t>
  </si>
  <si>
    <t>cosme-134　●【内容:Aki.K】2022-03-13(日)　　</t>
  </si>
  <si>
    <t>　2022-03-10(木)　　Keiko</t>
  </si>
  <si>
    <t>　●【マーク：クローバー】【楽天発行クーポン利用額】100　　名入れ希望Kanon</t>
  </si>
  <si>
    <t>　●【マーク：ハート】　　yukino</t>
  </si>
  <si>
    <t>　●【内容:Takako】　●【内容:Kayo】2022-03-10(木)　　</t>
  </si>
  <si>
    <t>　●【マーク：ハート】　　名入れ希望です。Satomi</t>
  </si>
  <si>
    <t>内容⇒【Etsuko】マーク⇒【流れ星】　●【名入れ希望する/無料】Etsuko　　</t>
  </si>
  <si>
    <t>　●【マーク：バラ】【楽天発行クーポン利用額】100　　名入れ希望　Neo</t>
  </si>
  <si>
    <t>　●【マーク：ハート】　　Hitomi</t>
  </si>
  <si>
    <t>　●【マーク：スマイル】2022-03-12(土)　　Natchan</t>
  </si>
  <si>
    <t>内容⇒【Jyunna】　2022-03-12(土)　　Jyunna   で名入れをお願いします。字体は選べるのでしょうか？</t>
  </si>
  <si>
    <t>　●【マーク：鳥】　　Natsumi</t>
  </si>
  <si>
    <t>　●【マーク：希望しない】　　Rina</t>
  </si>
  <si>
    <t>　●【マーク：ハート】2022-03-14(月)　　Yui</t>
  </si>
  <si>
    <t>　2022-03-12(土)　　名入れ希望:Harukaラッピングも希望です。よろしくお願いいたします。</t>
  </si>
  <si>
    <t>　2022-03-12(土)　　yurika</t>
  </si>
  <si>
    <t>　●【マーク：希望しない】　　パドルの名入れRisa</t>
  </si>
  <si>
    <t>　●【名入れ希望する/無料】名入れの名前Saoriでお願いします。　　</t>
  </si>
  <si>
    <t>●【宅急便】　●【希望する/無料】●【内容:Ami】Amiで名入れお願いします。　　</t>
  </si>
  <si>
    <t>●【宅急便】　●【希望する/無料】●【内容:Eri】　　</t>
  </si>
  <si>
    <t>　●【名入れ希望する/無料】名入れ: Misato　　</t>
  </si>
  <si>
    <t>　●【マーク：希望しない】2022-03-12(土)　　Ayu</t>
  </si>
  <si>
    <t>　●【マーク：流れ星】　　名入れyoshiko</t>
  </si>
  <si>
    <t>　　　Natsuko (なつこ）のローマ字で名入れをお願いします。</t>
  </si>
  <si>
    <t>　●【マーク：希望しない】　2022-03-11(金)　　名前→(1本目) Miwa         (2本目) Sakura</t>
  </si>
  <si>
    <t>　●【内容:Chisa】　　</t>
  </si>
  <si>
    <t>　●【マーク：希望しない】　　名入れ Mayu でお願いします。</t>
  </si>
  <si>
    <t>　●【マーク：ハート】　　Sayakaお願いします。</t>
  </si>
  <si>
    <t>　2022-03-11(金)16時～18時　　Mao とブラシに名前お願いします！</t>
  </si>
  <si>
    <t>●【宅急便】　●【希望する/無料】●【内容:Riina】●【マーク:流れ星】　　以下の名入れ希望です。今は名入れ無料ですか？Riinaマークは流れ星</t>
  </si>
  <si>
    <t>　●【内容:Shiho】　　</t>
  </si>
  <si>
    <t>　●【マーク：鳥】【店舗発行クーポン利用額】10002022-03-11(金)　　Haru</t>
  </si>
  <si>
    <t>　　　Madoka</t>
  </si>
  <si>
    <t>　●【マーク：希望しない】　　Miku</t>
  </si>
  <si>
    <t>　●【マーク：ハート】　　名入れ希望ですYui</t>
  </si>
  <si>
    <t>　●【マーク：バラ】　　Nina</t>
  </si>
  <si>
    <t xml:space="preserve">　●【マーク：希望しない】2022-03-11(金)　　Karen </t>
  </si>
  <si>
    <t>　●【マーク：バラ】　　名入れ希望です。YKRN</t>
  </si>
  <si>
    <t>　　　名入れ希望文字→　airi</t>
  </si>
  <si>
    <t>　●【マーク：バラ】　　　・Mako・Yuka</t>
  </si>
  <si>
    <t>　●【マーク：希望しない】2022-03-13(日)　　「Fuki」と名入れお願いします。</t>
  </si>
  <si>
    <t>　●【マーク：ハート】　　名入れ希望ですChiemi</t>
  </si>
  <si>
    <t>　●【マーク：ハート】2022-03-14(月)　　名入れ: Kumiko</t>
  </si>
  <si>
    <t>　●【マーク：希望しない】　　Haruna</t>
  </si>
  <si>
    <t>　●【マーク：クローバー】2022-03-11(金)　　名入れ内容【Haruka クローバー】</t>
  </si>
  <si>
    <t>　●【マーク：希望しない】　　Yumika</t>
  </si>
  <si>
    <t>●【宅急便】　●【希望する/無料】●【内容:Yukako】●【マーク:流れ星】　　名入れ希望ですが今回無料との事でよろしいでしょうか。</t>
  </si>
  <si>
    <t>　●【マーク：希望しない】2022-03-12(土)　　Kyoka</t>
  </si>
  <si>
    <t>　●【マーク：希望しない】　　Toshiko</t>
  </si>
  <si>
    <t>　●【マーク：ハート】2022-03-14(月)　　Yukino</t>
  </si>
  <si>
    <t>　●【マーク：希望しない】　　Maiko</t>
  </si>
  <si>
    <t>内容⇒【Nana】　　　</t>
  </si>
  <si>
    <t>●【宅急便】　●【希望する/無料】●【内容:Saori】　　</t>
  </si>
  <si>
    <t>　内容⇒【Maaya】マーク⇒鳥2022-03-19(土)16時～18時　　</t>
  </si>
  <si>
    <t>　●【マーク：希望しない】　　名入れ希望　下記Emiko</t>
  </si>
  <si>
    <t>　●【マーク：希望しない】　　・名入れ希望→MITSUKA・3/24到着での指定日配達をお願いします。お届け日時欄にて選択が出来なかったため、こちらに記入します。</t>
  </si>
  <si>
    <t>　●【マーク：希望しない】　　Natsuki</t>
  </si>
  <si>
    <t>　●【マーク：スマイル】　　しほ　Shiho</t>
  </si>
  <si>
    <t>　●【マーク：希望しない】2022-03-16(水)　　Kyoko</t>
  </si>
  <si>
    <t>　●【マーク：ハート】　　Keiko</t>
  </si>
  <si>
    <t>　●【マーク：クローバー】　　--Kaori---------------------------------------</t>
  </si>
  <si>
    <t>　●【マーク：クローバー】内容⇒【yurika】　　ゆりかでお願いします</t>
  </si>
  <si>
    <t>　●【マーク：バラ】　　名入れ→Yurina</t>
  </si>
  <si>
    <t>　●【マーク：スマイル】　　MARIEでお願い致します。</t>
  </si>
  <si>
    <t>　●【マーク：流れ星】内容⇒【sawako】　　さわこでお願いします</t>
  </si>
  <si>
    <t>　●【マーク：スマイル】内容⇒【michiko】　　みちこでお願いします</t>
  </si>
  <si>
    <t>　●【内容:Noriko】●【マーク:ハート】2022-03-12(土)　　</t>
  </si>
  <si>
    <t>　●【内容:Aya】●【マーク:ハート】　　</t>
  </si>
  <si>
    <t>　●【内容:Chikako】●【マーク:ハート】　　</t>
  </si>
  <si>
    <t>●【宅急便】　●【希望する/無料】●【内容:Noa】●【マーク:ハート】　　</t>
  </si>
  <si>
    <t>　2022-03-12(土)　　Yuuka</t>
  </si>
  <si>
    <t>　●【マーク：スマイル】　　名前は　JUNKOマークは　スマイルで刻印お願いします。</t>
  </si>
  <si>
    <t>　●【内容:Ayumi】●【マーク:ハート】　　</t>
  </si>
  <si>
    <t>　●【内容:Shusaku】　　</t>
  </si>
  <si>
    <t>　●【マーク：希望しない】　　yutaka</t>
  </si>
  <si>
    <t>　●【マーク：希望しない】　　名入れ Miki でお願いします。</t>
  </si>
  <si>
    <t>　●【マーク：スマイル】　　名前misaki</t>
  </si>
  <si>
    <t xml:space="preserve">　●【マーク：バラ】2022-03-15(火)14:00-16:00　　Miyu </t>
  </si>
  <si>
    <t>　●【マーク：希望しない】　内容⇒【Junna】内容⇒【Yuumi】　　JunnaYuumi</t>
  </si>
  <si>
    <t>・名入れ有料(2200円)で ：　　・名入れ内容1点目(15文字まで) ：hidetaka (白ハートマーク) 1・名入れ内容2点目(15文字まで) ：kazumi (白ハートマーク) 1・熨斗の種類 ：★【記念品】　　</t>
  </si>
  <si>
    <t>　・名入れ有料(2200円)で ：　　・名入れ内容1点目(15文字まで) ：Hideki&amp;Kanae・名入れ内容2点目(15文字まで) ：Hideki&amp;Kanae・熨斗の種類 ：★【御結婚御祝】・熨斗の名入れ ：【名入れ無し】　　</t>
  </si>
  <si>
    <t>　・ボックスプリントを ：　・プリント文字を入力してください ：Miu　・4℃のショッパー(紙袋)を無料で ：</t>
  </si>
  <si>
    <t>　　●【ガラスに名入れする/1100円】・フォントの選択 ：●【フォント:筆記体】・1行目/上段名入れ内容を半角22文字以内で記入してください ：HappyWedding2022.03.26・2行目/下段名入れ内容を半角22文字以内で記入してください ：Naoki × Manami・紙袋を無料で ：　・メッセージカードを ：希望しない・熨斗の種類 ：</t>
  </si>
  <si>
    <t>1点目1行目⇒【Y】1点目2行目⇒【20220320】2点目1行目⇒【H】2点目2行目⇒【20220320】友人の結婚式が北海道であります挙式前日に飛行機で北海道に行くため、細心の注意を払って飛行機に搭乗しますが、極力割れないような梱包は可能でしょうか　・名入れ有料(2200円)で ：　　・【1点目】名入れ内容をご入力ください(イニシャル1文字+日付8文字まで) ：Y 20220320・【2点目】名入れ内容をご入力ください(イニシャル1文字+日付8文字まで) ：H 20220320　・熨斗の種類 ：★【御結婚御祝】・熨斗の名入れ ：【名入れ無し】</t>
  </si>
  <si>
    <t>　・名入れ有料(2200円)で ：　　・名入れ内容1点目(15文字まで) ：Hiroshi・名入れ内容2点目(15文字まで) ：Miyuki・熨斗の種類 ：　　</t>
  </si>
  <si>
    <t>　・ボックスプリントを ：　・プリント文字を入力してください ：Yui　・4℃のショッパー(紙袋)を無料で ：</t>
  </si>
  <si>
    <t>●【マーク：スマイル】　AYAKO　お支払い方法: PayPay残高払いコメント: 　09:00-12:00お届け日: 2022/03/06　着荷種別: あすつく注文『翌日配送』</t>
  </si>
  <si>
    <t>内容⇒【ELINA】　　コメント: 名入れ　ELINA　お届け日: 2022/03/06　着荷種別: あすつく注文『翌日配送』</t>
  </si>
  <si>
    <t>●【ガラスに名入れする/1100円】●【フォント：丸ゴシック】hana-075-0-brpp:Thanks for everything.;from 道上小学校職員一同　　コメント: 　お届け日: 2022/03/06　着荷種別: あすつく注文『翌日配送』</t>
  </si>
  <si>
    <t>●【ボックス/フレーム.】●【メッセージ/Thank　you】baccarat-162:2020   2022　　コメント: 　09:00-12:00お届け日: 2022/03/06　　</t>
  </si>
  <si>
    <t>parfum-201:Dear Haruka;　お支払い方法: ゆっくり払いコメント: 　お届け日: 　　</t>
  </si>
  <si>
    <t>　Kayomi　　コメント: 　お届け日: 　　</t>
  </si>
  <si>
    <t>●【マーク：ハート】cosme-199-0-365:SUZUKA　　コメント: 　お届け日: 　　</t>
  </si>
  <si>
    <t>cosme-043-0-004:Seas　お支払い方法: PayPay残高払いコメント: 　お届け日: 2022/03/14　　</t>
  </si>
  <si>
    <t>cosme-043-0-012:Sayo　お支払い方法: PayPay残高払いコメント: 　お届け日: 2022/03/14　　</t>
  </si>
  <si>
    <t>hana-070-0-rap:Harumi　お支払い方法: PayPayあと払いコメント: 　お届け日: 2022/03/15　　</t>
  </si>
  <si>
    <t>cosme-094:K.yuka　お支払い方法: PayPay残高払いコメント: 　お届け日: 　　</t>
  </si>
  <si>
    <t>●【マーク：ハート】　:Maaya　お支払い方法: PayPay残高払いコメント: 　お届け日: 　　</t>
  </si>
  <si>
    <t>baccarat-155:2022年還暦祝【のし】：★【御祝】【名入れ】：　お支払い方法: ポイント全額払いコメント: 　09:00-12:00お届け日: 2022/03/09　　</t>
  </si>
  <si>
    <t>1点目⇒【Satoru】2点目⇒【Miyu】baccarat-158:Satoru;Miyu【のし】：★【御結婚御祝】【名入れ】：小山田　　コメント: お世話になります。 / どこかの書込みに「グラスが汚れていた」というのがありました。たまたまだと思いますが、ご確認の上綺麗なものをお願いします。 / 失礼なお願いで申し訳ありません。 / 直接お相手へのお届けですので、宜しくお願いします。　お届け日: 　　</t>
  </si>
  <si>
    <t>baccarat-161:Kin san　2点目Naomi san　　コメント: 一点目　Kin san / 二点目　Naomi san / 「san」の前にスペースをお願いします。 / 申し訳ありませんが、11日に届くと助かります　お届け日: 　　</t>
  </si>
  <si>
    <t>●【マーク：バラ】　Chiho　　コメント: 　お届け日: 2022/03/09　　</t>
  </si>
  <si>
    <t>hana-080-0-12:S.Natsue　　コメント: 　お届け日: 2022/03/09　　</t>
  </si>
  <si>
    <t>hana-081-0-jas:Nanao　　コメント: 　お届け日: 2022/03/08　　</t>
  </si>
  <si>
    <t>●【マーク：鳥】　Yuki　　コメント: 　お届け日: 　　</t>
  </si>
  <si>
    <t>baccarat-138:Kanagawa  2022;Kanagawa  2022　お支払い方法: PayPay残高払いコメント: 今週の3/11か3/14くらいの発送になりますでしょうか&amp;#8264; / 少し急いでいまして、申し訳ございませんが / 返信をお願いいたします。間に合わない様で有れば / キャンセルでお願いいたします。　お届け日: 　　</t>
  </si>
  <si>
    <t>内容⇒【Mayu.I】　　コメント: 名入れ希望です。 / 入れて欲しい文字… / Mayu.I /  / です。プラス1，100円了承済みです。 /  / 小学校の卒業式に先生へプレゼントするものなので、 / クラスの保護者様に提示する領収書もお願い致します。　お届け日: 　　</t>
  </si>
  <si>
    <t>Tatsuzo Matsumoto　お支払い方法: PayPay残高払いコメント: 　お届け日: 2022/03/08　　</t>
  </si>
  <si>
    <t>parfum-555:Haruna.O　お支払い方法: PayPay残高払いコメント: 　お届け日: 　　</t>
  </si>
  <si>
    <t>:NAO　　コメント: 　お届け日: 2022/03/11　　</t>
  </si>
  <si>
    <t>baccarat-138:Hole In One 2022.3.4;ACE 2022.3.4　お支払い方法: PayPayあと払いコメント: ホールインワン記念のプレゼントになります。 /  / どうぞよろしくお願い致します。　お届け日: 2022/03/09　　</t>
  </si>
  <si>
    <t>●【筆記体】　お支払い方法: PayPay残高払いコメント: 名入れ Hirono でお願いします。　お届け日: 　　</t>
  </si>
  <si>
    <t>cosme-150:hiromi　お支払い方法: ゆっくり払いコメント: 　お届け日: 2022/03/09　　</t>
  </si>
  <si>
    <t>●【マーク：流れ星】　Narumi　お支払い方法: ゆっくり払いコメント: 　お届け日: 　　</t>
  </si>
  <si>
    <t>【のし】：★【御祝】【名入れ】：Ren Shimomura　　コメント: 　お届け日: 　　</t>
  </si>
  <si>
    <t>●【マーク：スマイル】　:Tomomi　お支払い方法: PayPay残高払いコメント: 　お届け日: 2022/03/15　　</t>
  </si>
  <si>
    <t>●【木枠に名入れする/1100円】●【フォント：明朝体】hana-075-0-whbl:長い間お仕事お疲れ様でした;2022.3 Ｍiho.Fumi.Taka　お支払い方法: PayPay残高払いコメント: 　09:00-12:00お届け日: 2022/03/09　　</t>
  </si>
  <si>
    <t>●【マーク：スマイル】　tomomi　　コメント: 　お届け日: 　　</t>
  </si>
  <si>
    <t>cosme-188-0-468:Michelle　お支払い方法: PayPay残高払いコメント: 　09:00-12:00お届け日: 2022/03/08　　</t>
  </si>
  <si>
    <t>●【マーク：キスマーク】cosme-173-0-70:Rumi　お支払い方法: PayPayあと払いコメント: 誕生日プレゼントとして送りたいので、請求書等は入れないで欲しいです。　お届け日: 　　</t>
  </si>
  <si>
    <t>hana-070-0-bell:Akika　　コメント: 　14:00-16:00お届け日: 2022/03/08　　</t>
  </si>
  <si>
    <t>hana-070-0-slb:Maika　　コメント: 　14:00-16:00お届け日: 2022/03/08　　</t>
  </si>
  <si>
    <t>hana-070-0-lmd:Kotona　　コメント: 　14:00-16:00お届け日: 2022/03/08　　</t>
  </si>
  <si>
    <t>hana-070-0-rap:Mina　　コメント: 　14:00-16:00お届け日: 2022/03/08　　</t>
  </si>
  <si>
    <t>●【マーク：クローバー】　misako　お支払い方法: PayPay残高払いコメント: 　お届け日: 2022/03/08　　</t>
  </si>
  <si>
    <t>swarovski-019-0-5224383:Miho.T　お支払い方法: PayPay残高払いコメント: 　お届け日: 2022/03/08　　</t>
  </si>
  <si>
    <t>jillstuart-024-0-01:みほ　お支払い方法: PayPay残高払いコメント: 　お届け日: 2022/03/14　　</t>
  </si>
  <si>
    <t>2022.  Y.Ando　お支払い方法: PayPay残高払いコメント: 　お届け日: 　　</t>
  </si>
  <si>
    <t>　:Airi　お支払い方法: PayPay残高払いコメント: 　お届け日: 　　</t>
  </si>
  <si>
    <t>　:Kaede　　コメント: 　09:00-12:00お届け日: 2022/03/09　　</t>
  </si>
  <si>
    <t>caran-003:Ｍ．ＫＵＲＯＳＡＫＩ　お支払い方法: PayPay残高払いコメント: 　お届け日: 　　</t>
  </si>
  <si>
    <t>　cosme-034:shino　　コメント: 　お届け日: 　　</t>
  </si>
  <si>
    <t>●【マーク：スマイル】　TOMO　お支払い方法: PayPay残高払いコメント: 　お届け日: 　　</t>
  </si>
  <si>
    <t>●【木枠に名入れする/1100円】●【フォント：筆記体】上段⇒【Happy Wedding】下段⇒【Eri(ハートマーク)Shoichi 2022/1/23】hana-075-0-whpk:Happy Wedding;Eri&amp;#9825;Shoichi 2022/1/23　お支払い方法: PayPay残高払いコメント: 　お届け日: 2022/03/11　　</t>
  </si>
  <si>
    <t>cosme-172-0-80:Sakura　お支払い方法: PayPay残高払いコメント: 　14:00-16:00お届け日: 2022/03/08　　</t>
  </si>
  <si>
    <t>●【縦（たて）型】●【レーザー名入れ】●【端午節句（しょうぶ）】●【希望する/無料】tsurumi-120-0-tate:結人;令和三年八月二十五日　生　　コメント: 　14:00-16:00お届け日: 　　</t>
  </si>
  <si>
    <t>●【メッセージ/Thank　you】Masaru  Oonishi　お支払い方法: PayPay残高払いコメント: お世話になった方（男性）へ退職祝いになります。 /  / 名前のローマ字の字体はどのような感じになりますか?  / またラッピングはどのような感じですか?　お届け日: 2022/03/08　　</t>
  </si>
  <si>
    <t>　:ayumi　　コメント: 　お届け日: 2022/03/15　　</t>
  </si>
  <si>
    <t>　:Mizuki　お支払い方法: PayPay残高払いコメント: 　お届け日: 　　</t>
  </si>
  <si>
    <t>●【マーク：肉球】　cosme-023:emi　　コメント: 　09:00-12:00お届け日: 2022/03/10　　</t>
  </si>
  <si>
    <t>4c-187:Yui　　コメント: 　お届け日: 　　</t>
  </si>
  <si>
    <t>●【マーク：バラ】cosme-172-0-83:Kaya　　コメント: 　お届け日: 　　</t>
  </si>
  <si>
    <t>●【名入れする/2200円】1点目⇒【~25th.T&amp;M~】2点目⇒【~25th.T&amp;M~】baccarat-165:~25th.T&amp;M~【のし】：★【御祝】【名入れ】：祝銀婚式 子供一同　　コメント: 1っ目の刻印は、~25th.T&amp;M~ / 2っ目の刻印は、~Forever~ / でお願いします。　14:00-16:00お届け日: 2022/03/08　　</t>
  </si>
  <si>
    <t>●【マーク：ハート】　:Nozomi　　コメント: 　お届け日: 　　</t>
  </si>
  <si>
    <t>●【マーク：流れ星】　Erika　お支払い方法: PayPay残高払いコメント: 　お届け日: 　　</t>
  </si>
  <si>
    <t>●【マーク：バラ】　:Mana　お支払い方法: PayPay残高払いコメント: 　お届け日: 　　</t>
  </si>
  <si>
    <t>●【木枠に名入れする/1100円】●【フォント：筆記体】hana-075-0-whrd:1st Anniversary;Fumiya &amp; Hitomi　お支払い方法: PayPay残高払いコメント: 　お届け日: 　　</t>
  </si>
  <si>
    <t>　:Nozomi　お支払い方法: PayPay残高払いコメント: 　お届け日: 　　</t>
  </si>
  <si>
    <t>　:Arisa　お支払い方法: PayPay残高払いコメント: 名入れがどんな感じになるかの写真付きのメールを送ってください。　お届け日: 2022/03/10　　</t>
  </si>
  <si>
    <t>●【マーク：クローバー】　:Ai　　コメント: 　お届け日: 2022/03/14　　</t>
  </si>
  <si>
    <t>　cosme-023:Miwako　　コメント: 　12:00-14:00お届け日: 2022/03/09　　</t>
  </si>
  <si>
    <t>　　ChisatoChiaki　お支払い方法: PayPay残高払いコメント: 　お届け日: 2022/03/08　　</t>
  </si>
  <si>
    <t>　　　　・●【1行目】名入れ内容をご入力ください。 ：HappyBirthday・●【2行目】必要な方はご入力ください。 ：Dear Yusei・●【3行目】必要な方はご入力ください。 ：　</t>
  </si>
  <si>
    <t>　　　　・名入れ内容(15文字まで)ご記入ください ：Natsuki・マーク ：●【マーク:クローバー】　・巾着ポーチが無料でついてくる! ：　</t>
  </si>
  <si>
    <t>　　　　・名入れ内容を記載してください(6文字) ：HarU・この商品は包装紙ラッピング済です ：　　(品切れにより休止中)</t>
  </si>
  <si>
    <t>　・この商品はラッピング済みです。 ：●。　　　・名入れ内容を記載してください ：ai・ディオールのショッパー(紙袋)を無料で ：</t>
  </si>
  <si>
    <t>　　　　●・名入れ内容はこちら ：yukako・熨斗の種類 ：</t>
  </si>
  <si>
    <t>　　　　・フォントをお選びください ：●【筆記体】※半角英数字のみの対応となります・メッセージの内容を半角50文字以内で入力してください。 ：I love Ria.Aino  Thinking of you always・熨斗の種類 ：・この商品はラッピング不可 ：了承しました・メッセージカードを ：・ギフト袋を ：</t>
  </si>
  <si>
    <t>　　　　・名入れ内容を記載してください ：Yuko　　(品切れにより休止中)</t>
  </si>
  <si>
    <t>内容⇒【AYA】内容⇒【AYAKA】　　　　・名入れ内容を記載してください(6文字) ：AYA・この商品は包装紙ラッピング済です ：　　(品切れにより休止中)■オプション内容(【名入れ】【正規紙袋 無料】 シャネル ハンドクリーム コスメ シャネルコスメ ハンド クリーム ラ クレーム マン レディース 卵型 ネイルケア 50ml ミニサイズ CHANEL 正規品 ブランド 新品 新作 2022年 ギフト ホワイトデー お返し 2022)　　　・名入れ内容を記載してください(6文字) ：AYAKA・この商品は包装紙ラッピング済です ：　　(品切れにより休止中)</t>
  </si>
  <si>
    <t>　　　　・名入れ内容を記載してください ：Maho・マーク ：●【マーク:スマイル】　・巾着ポーチが無料でついてくる! ：　</t>
  </si>
  <si>
    <t>内容⇒【HINA】内容⇒【BUNNTA】　　　・名入れ内容を記載してください ：HINA　　(品切れにより休止中)■オプション内容(【名入れ】【正規紙袋 無料】 シャネル ヘアミスト チャンス オー タンドゥル 35ml フレグランス コスメ 香水 ヘア ミスト スプレー スプレイ メイク 化粧品 レディース 女性用 CHANEL 正規品 ブランド 新品 新作 2022年 ギフト プレゼント ホワイトデー お返し 2022)　　　・名入れ内容を記載してください ：BUNNTA　　(品切れにより休止中)</t>
  </si>
  <si>
    <t>　　　　・名入れ内容を記載してください(6文字) ：N.Rina・この商品は包装紙ラッピング済です ：　　(品切れにより休止中)</t>
  </si>
  <si>
    <t>　　　　・フォントをお選びください ：●【筆記体】※半角英数字のみの対応となります・名入れ内容(10文字まで)ご記入ください ：M.Yamakawa・熨斗の種類 ：</t>
  </si>
  <si>
    <t>梱包の中の商品が分からない様にお願い致します。　　　　・名入れ内容を記載してください ：Rumi　　(品切れにより休止中)</t>
  </si>
  <si>
    <t>内容⇒【Saki】内容⇒【Aika】内容⇒【Mizuki】　　　・名入れ内容を記載してください ：Saki・マーク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：Aika・マーク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：Mizuki・マーク ：希望しない　・巾着ポーチが無料でついてくる! ：　</t>
  </si>
  <si>
    <t>お届け日を、出来ましたら3/9(水)にお願いします。無理でしたら、3/10(木)でお願いします。　にお願いします。無理でしたら、3/10(木)でお願いします。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：Rei・マーク ：●【マーク:クローバー】　・巾着ポーチが無料でついてくる! ：　</t>
  </si>
  <si>
    <t>内容⇒【Kana】内容⇒【Yusuke】内容⇒【Toshiaki】　　　　・名入れ内容を記載してください ：Kana・マーク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：Yusuke・マーク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：Toshiaki・マーク ：希望しない　・巾着ポーチが無料でついてくる! ：　</t>
  </si>
  <si>
    <t>　　　・名入れ内容(15文字まで)ご記入ください ：misato・マーク ：●【マーク:ハート】　・巾着ポーチが無料でついてくる! ：　</t>
  </si>
  <si>
    <t>baccarat-153内容⇒【YOKO】●【ボックス/薔薇.】●【メッセージ/Thank you】baccarat-153内容⇒【SEIICHI】●【ボックス/薔薇.】●【メッセージ/Thank you】グラスの名前を表記を、筆記体にすることが可能でしたら、お願いいたします。難しい場合は、ブロック体でお願いいたします。　　　　・名入れ内容を20文字以内でご入力ください ：YOKO・熨斗の種類 ：★【御礼】・熨斗の名入れ ：【名入れ無し】　　・有料(1，100円)でボックスにプリント ：●【ボックス/薔薇.】・箱にメッセージプリント ：●【メッセージ/Thank you】■オプション内容(【名入れ】 バカラ グラス 2022 限定 ロックグラス タンブラー イヤータンブラー 食器 ガラス ティアラ 1客 新品 新作 ブランド ギフト プレゼント 敬老の日 プレゼント ホワイトデー お返し 2022)　　　・名入れ内容を20文字以内でご入力ください ：SEIICHI・熨斗の種類 ：★【御礼】・熨斗の名入れ ：【名入れ無し】　　・有料(1，100円)でボックスにプリント ：●【ボックス/薔薇.】・箱にメッセージプリント ：●【メッセージ/Thank you】</t>
  </si>
  <si>
    <t>内容⇒【Sakina】マーク⇒【バラ】内容⇒【Mone】マーク⇒【バラ】個別の包装をお願い致します。　　　　・名入れ内容を記載してください ：Sakina・マーク ：●【マーク:バラ】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：Mone・マーク ：●【マーク:バラ】　・巾着ポーチが無料でついてくる! ：　</t>
  </si>
  <si>
    <t>　　　　・名入れ内容(15文字まで)ご記入ください ：Miho・マーク ：●【マーク:ハート】　・巾着ポーチが無料でついてくる! ：　</t>
  </si>
  <si>
    <t>　・この商品はラッピング済みです。 ：●。　　　・名入れ内容を記載してください ：KAZUE.S・ディオールのショッパー(紙袋)を無料で ：</t>
  </si>
  <si>
    <t>・この商品はラッピング済みです。 ：●。　　　・名入れ内容を記載してください ：Sayuka・ディオールのショッパー(紙袋)を無料で ：</t>
  </si>
  <si>
    <t>　　　・名入れ内容を記載してください ：Naoto・マーク ：希望しない　・巾着ポーチが無料でついてくる! ：　</t>
  </si>
  <si>
    <t>　　　　・名入れ内容を記載してください(6文字) ：Thanks・この商品は包装紙ラッピング済です ：　　(品切れにより休止中)</t>
  </si>
  <si>
    <t>・この商品はラッピング済みです。 ：●。　　　・名入れ内容を記載してください ：Chaco・ディオールのショッパー(紙袋)を無料で ：</t>
  </si>
  <si>
    <t>　・この商品はラッピング済みです。 ：●。　　　・名入れ内容を記載してください ：Tomoyo・ディオールのショッパー(紙袋)を無料で ：</t>
  </si>
  <si>
    <t>　　　　・名入れ内容を記載してください ：Rara・マーク ：●【マーク:ハート】　・巾着ポーチが無料でついてくる! ：　</t>
  </si>
  <si>
    <t>　　　　・名入れ内容を記載してください(6文字) ：MAYU・この商品は包装紙ラッピング済です ：　　(品切れにより休止中)</t>
  </si>
  <si>
    <t>　　　　・名入れ内容(15文字まで)ご記入ください ：Junko・マーク ：●【マーク:ハート】　・巾着ポーチが無料でついてくる! ：　</t>
  </si>
  <si>
    <t>　　　　・名入れ内容(15文字まで)ご記入ください ：Macha・マーク ：●【マーク:鳥】　・巾着ポーチが無料でついてくる! ：　</t>
  </si>
  <si>
    <t>　　　・名入れ内容(15文字まで)ご記入ください ：Megumi・マーク ：●【マーク:ハート】　・巾着ポーチが無料でついてくる! ：　</t>
  </si>
  <si>
    <t>　　　　・名入れ内容を記載してください(6文字) ：Shiori・この商品は包装紙ラッピング済です ：　　(品切れにより休止中)</t>
  </si>
  <si>
    <t>　　　　・名入れ内容を記載してください ：Syuka・マーク ：●【マーク:バラ】　・巾着ポーチが無料でついてくる! ：　</t>
  </si>
  <si>
    <t>　　　　・名入れ内容を記載してください(6文字) ：Maiko・この商品は包装紙ラッピング済です ：　　(品切れにより休止中)</t>
  </si>
  <si>
    <t>　　　　・名入れ内容を記載してください ：chiaki　・今だけ限定 ：　・ネコポス配送の場合、代金引換不可・到着日指定不可・即日配送適応外(1～2日かかります)となります。 ：</t>
  </si>
  <si>
    <t>　　　　・名入れ内容を記載してください ：Ayaka.T　・今だけ限定 ：　・ネコポス配送の場合、代金引換不可・到着日指定不可・即日配送適応外(1～2日かかります)となります。 ：</t>
  </si>
  <si>
    <t>　　　　・名入れ内容を記載してください ：yukino・マーク ：●【マーク:ハート】・この商品は包装紙ラッピング済です ：　　(品切れにより休止中)　</t>
  </si>
  <si>
    <t>hana-070-0-ursula内容⇒【A.jun】hana-070-0-cid内容⇒【K.miyuki】hana-070-0-slb内容⇒【M.masako】hana-070-0-elsa内容⇒【Mayumi】　　　・名入れ内容を記載してください ：A.jun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シンデレラ)　　　・名入れ内容を記載してください ：K.miyuki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眠れる森の美女)　　　・名入れ内容を記載してください ：M.masako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雪の女王)　　　・名入れ内容を記載してください ：Mayumi　・今だけ限定 ：　・ネコポス配送の場合、代金引換不可・到着日指定不可・即日配送適応外(1～2日かかります)となります。 ：</t>
  </si>
  <si>
    <t>　　　　・名入れ内容を記載してください ：Mie・マーク ：希望しない・この商品は包装紙ラッピング済です ：　　(品切れにより休止中)　</t>
  </si>
  <si>
    <t>　　　　・名入れ内容を記載してください ：YUA　・アナスイのショッパー(紙袋)を無料で ：　</t>
  </si>
  <si>
    <t>　　　　・名入れ内容を記載してください ：Ayaka・この商品は包装紙ラッピング済です ：　　(品切れにより休止中)　　：</t>
  </si>
  <si>
    <t>　　　　・名入れ内容(10文字まで)ご記入ください ：O.Haruki・フォントをお選びください ：●【筆記体】※半角英数字のみの対応となります　　：</t>
  </si>
  <si>
    <t>　　　・名入れ内容を記載してください ：mizuki・マーク ：希望しない・ディオールのショッパー(紙袋)を無料で ：　　　：</t>
  </si>
  <si>
    <t>　　　・名入れ内容を記載してください ：f.hayato・マーク ：●【マーク:リボン】　　　　：</t>
  </si>
  <si>
    <t>　　　　・名入れ内容を記載してください ：M.hina・この商品は包装紙ラッピング済です ：　　(品切れにより休止中)　　：</t>
  </si>
  <si>
    <t>　　　　・名入れ内容を記載してください ：kayoko・この商品は包装紙ラッピング済です ：　　(品切れにより休止中)　　：</t>
  </si>
  <si>
    <t>　　　　・名入れ内容を記載してください ：Erina・マーク ：●【マーク:ハイビスカス】　　　　：</t>
  </si>
  <si>
    <t>　　　　・名入れ内容を記載してください ：Hazuki・この商品は包装紙ラッピング済です ：　　(品切れにより休止中)　　：</t>
  </si>
  <si>
    <t>　　　　・名入れ内容を記載してください ：AI・この商品は包装紙ラッピング済です ：　　(品切れにより休止中)　　：</t>
  </si>
  <si>
    <t>　　　・名入れ内容を記載してください ：みーたん　・ディオールのショッパー(紙袋)を無料で ：　　：</t>
  </si>
  <si>
    <t>　　　　・名入れ内容を記載してください ：Mizuho・この商品は包装紙ラッピング済です ：　　(品切れにより休止中)　　：</t>
  </si>
  <si>
    <t>　　　　・名入れ内容(15文字まで)ご記入ください ：Daisuke・熨斗の種類 ：　　　</t>
  </si>
  <si>
    <t>　・名入れ有料(2200円)で ：　　・1点目の名入れ内容(20文字以内) ：Best wishes Y&amp;M・2点目の名入れ内容(20文字以内) ：Best wishes Y&amp;M・熨斗の種類 ：★【御結婚御祝】・熨斗の名入れ ：【名入れ無し】　　　</t>
  </si>
  <si>
    <t>　・名入れ有料(2200円)で ：　　・1点目の名入れ内容(20文字以内) ：Together Forever・2点目の名入れ内容(20文字以内) ：on our 15th Anniv.・熨斗の種類 ：　　　</t>
  </si>
  <si>
    <t>baccarat-1541点目⇒【keisuke&amp;kaori】2点目⇒【keisuke&amp;kaori】baccarat-1541点目⇒【yuki&amp;fumi】2点目⇒【yuki&amp;fumi】・名入れ有料(2200円)で ：　　・1点目の名入れ内容(20文字以内) ：keisuke&amp;kaori・2点目の名入れ内容(20文字以内) ：keisuke&amp;kaori・熨斗の種類 ：★【記念品】　　　■オプション内容(【名入れ】 バカラ グラス 2022 限定 ペア セット ロックグラス タンブラー イヤータンブラー 食器 ガラス ティアラ 2客 新品 新作 ブランド ギフト プレゼント 敬老の日 プレゼント ホワイトデー お返し 2022)・名入れ有料(2200円)で ：　　・1点目の名入れ内容(20文字以内) ：yuki&amp;fumi・2点目の名入れ内容(20文字以内) ：yuki&amp;fumi・熨斗の種類 ：★【記念品】　　　</t>
  </si>
  <si>
    <t>　　　　・名入れ内容を20文字以内でご入力ください ：Kensaku・熨斗の種類 ：★【御礼】・熨斗の名入れ ：●【名入れ希望(備考欄に記載)】・熨斗に入れる贈り主様のお名前をご記入ください ：GIS北関東一同　　　</t>
  </si>
  <si>
    <t>　・名入れ有料(2200円)で ：　　・1点目の名入れ内容(20文字以内) ：感謝を込めて　卸三課一同・2点目の名入れ内容(20文字以内) ：感謝を込めて　卸三課一同・熨斗の種類 ：　　　</t>
  </si>
  <si>
    <t>　・名入れ有料(2200円)で ：　　・1点目の名入れ内容(20文字以内) ：HIROYUKI・2点目の名入れ内容(20文字以内) ：HIROKO・熨斗の種類 ：　　　</t>
  </si>
  <si>
    <t>受領後、受領者が3月末ころに、相手にプレゼントしますので、お知り置きを願います　　　　・名入れ内容を20文字以内でご入力ください ：祝御勇退　西村 芳貢 様　R4.3.31・熨斗の種類 ：★【記念品】　　　</t>
  </si>
  <si>
    <t>　　　・熨斗の種類 ：★【御結婚御祝】・熨斗の名入れ ：【名入れ無し】・名入れ1点につき有料(1100円) ：・名入れ内容はこちらに入力してください ：1点目:Haruka 2点目:Moeto　</t>
  </si>
  <si>
    <t>　　　　・名入れ内容を20文字以内でご入力ください ：risa・熨斗の種類 ：★【御祝】・熨斗の名入れ ：【名入れ無し】　　　</t>
  </si>
  <si>
    <t>日時指定しておりますが、可能な限り早くお願い致します。　　　　・名入れ内容を20文字以内でご入力ください ：祝　古希　2022.3.15・熨斗の種類 ：　　　</t>
  </si>
  <si>
    <t>名入れの出来を贈る前に見たいです。写真など同封してもらえますか?　　　　・名入れ内容を20文字以内でご入力ください ：TAKAHIRO.K・熨斗の種類 ：　　　</t>
  </si>
  <si>
    <t>　・名入れ有料(2200円)で ：　　・1点目の名入れ内容(20文字以内) ：MISAKI・2点目の名入れ内容(20文字以内) ：KYOHEI・熨斗の種類 ：★【御結婚御祝】・熨斗の名入れ ：【名入れ無し】　　　</t>
  </si>
  <si>
    <t>　　　　・名入れ内容を20文字以内でご入力ください ：30th anniversary・熨斗の種類 ：★【御祝】・熨斗の名入れ ：【名入れ無し】　　　</t>
  </si>
  <si>
    <t>　　　　・名入れ内容を20文字以内でご入力ください ：Takashima・熨斗の種類 ：　　　</t>
  </si>
  <si>
    <t>baccarat-149●【筆記体】●【希望する/2200円】●【1点目1行目:Bar EN】●【1点目2行目:3.12】●【2点目1行目:Bar EN】●【2点目2行目:LOTUS】　　　</t>
  </si>
  <si>
    <t>●【フチ取り/逆彫り】●【明朝体】　2022-03-12(土)14時～16時　　名入れについては、以下のとおりお願いします。退職祝い　2022.3.31</t>
  </si>
  <si>
    <t>　　　　・名入れ内容(10文字まで)ご記入ください ：Kazuho.J　・無料ケアキットが付いてくる ：　</t>
  </si>
  <si>
    <t>bvlgari-173　　内容⇒【Syoryu.y】2022-03-09(水)　　ラッピング希望名入れ希望</t>
  </si>
  <si>
    <t>●【名入れする/2980円】　　:h.a　　コメント: 　お届け日: 　　</t>
  </si>
  <si>
    <t>　　bvlgari-160:Katsuko　お支払い方法: PayPay残高払いコメント: 　お届け日: 　　</t>
  </si>
  <si>
    <t>bot-313　　　　イニシャルはH・Sでお願いします。</t>
  </si>
  <si>
    <t>bot-180　　内容⇒【K.S】　　名入れ希望</t>
  </si>
  <si>
    <t>ミニ</t>
    <phoneticPr fontId="1"/>
  </si>
  <si>
    <t>naire:nobuko</t>
    <phoneticPr fontId="1"/>
  </si>
  <si>
    <t>naire:Haruka 名入れ希望</t>
    <phoneticPr fontId="1"/>
  </si>
  <si>
    <t>naire:Chica. 名入れ希望</t>
    <phoneticPr fontId="1"/>
  </si>
  <si>
    <t>：Rei・マーク ：●【マーク:クローバー】　・巾着ポーチが無料でついてくる! ：　</t>
    <phoneticPr fontId="1"/>
  </si>
  <si>
    <t>naire:Yurino 名入れ希望</t>
    <phoneticPr fontId="1"/>
  </si>
  <si>
    <t>naire:kyoka 名入れ希望</t>
    <phoneticPr fontId="1"/>
  </si>
  <si>
    <t>naire:Taeko N 名入れ希望</t>
    <phoneticPr fontId="1"/>
  </si>
  <si>
    <t>　●【内容:Shusaku】　　</t>
    <phoneticPr fontId="1"/>
  </si>
  <si>
    <t>　●【マーク：クローバー】【楽天発行クーポン利用額】100　　名入れ希望Kanon</t>
    <phoneticPr fontId="1"/>
  </si>
  <si>
    <t>　●【マーク：ハート】　　yukino</t>
    <phoneticPr fontId="1"/>
  </si>
  <si>
    <t>　Kayomi　　コメント: 　お届け日: 　　</t>
    <phoneticPr fontId="1"/>
  </si>
  <si>
    <t>　●【マーク：バラ】【楽天発行クーポン利用額】100　　名入れ希望　Neo</t>
    <phoneticPr fontId="1"/>
  </si>
  <si>
    <t>●【マーク：スマイル】　AYAKO　</t>
    <phoneticPr fontId="1"/>
  </si>
  <si>
    <t>　●【マーク：ハート】　　Hitomi</t>
    <phoneticPr fontId="1"/>
  </si>
  <si>
    <t>内容⇒【Jyunna】　2022-03-12(土)　　Jyunna   で名入れをお願いします。字体は選べるのでしょうか？</t>
    <phoneticPr fontId="1"/>
  </si>
  <si>
    <t>　●【マーク：鳥】　　Natsumi</t>
    <phoneticPr fontId="1"/>
  </si>
  <si>
    <t>　●【マーク：希望しない】　　Rina</t>
    <phoneticPr fontId="1"/>
  </si>
  <si>
    <t>　2022-03-12(土)　　名入れ希望:Harukaラッピングも希望です。よろしくお願いいたします。</t>
    <phoneticPr fontId="1"/>
  </si>
  <si>
    <t>　●【マーク：希望しない】　　yutaka</t>
    <phoneticPr fontId="1"/>
  </si>
  <si>
    <t>●【マーク：バラ】　Chiho　　コメント: 　お届け日: 2022/03/09　　</t>
    <phoneticPr fontId="1"/>
  </si>
  <si>
    <t>●【マーク：鳥】　Yuki　　コメント: 　お届け日: 　　</t>
    <phoneticPr fontId="1"/>
  </si>
  <si>
    <t>●【マーク：流れ星】　Narumi　お支払い方法: ゆっくり払いコメント: 　お届け日: 　　</t>
    <phoneticPr fontId="1"/>
  </si>
  <si>
    <t>●【マーク：スマイル】　tomomi　　コメント: 　お届け日: 　　</t>
    <phoneticPr fontId="1"/>
  </si>
  <si>
    <t>●【マーク：クローバー】　misako　お支払い方法: PayPay残高払いコメント: 　お届け日: 2022/03/08　　</t>
    <phoneticPr fontId="1"/>
  </si>
  <si>
    <t>●【マーク：スマイル】　TOMO　お支払い方法: PayPay残高払いコメント: 　お届け日: 　　</t>
    <phoneticPr fontId="1"/>
  </si>
  <si>
    <t>●【マーク：流れ星】　Erika　お支払い方法: PayPay残高払いコメント: 　お届け日: 　　</t>
    <phoneticPr fontId="1"/>
  </si>
  <si>
    <t>　　Chisato Chiaki　お支払い方法: PayPay残高払いコメント: 　お届け日: 2022/03/08　　</t>
    <phoneticPr fontId="1"/>
  </si>
  <si>
    <t>月135-1</t>
    <phoneticPr fontId="1"/>
  </si>
  <si>
    <t>　　ChisatoChiaki　お支払い方法: PayPay残高払いコメント: 　お届け日: 2022/03/08　　</t>
    <phoneticPr fontId="1"/>
  </si>
  <si>
    <t>　　　　・名入れ内容を記載してください ：Maho・マーク ：●【マーク:スマイル】　・巾着ポーチが無料でついてくる! ：　</t>
    <phoneticPr fontId="1"/>
  </si>
  <si>
    <t>内容⇒【Saki】内容⇒【Aika】内容⇒【Mizuki】　　　・名入れ内容を記載してください ：Saki・マーク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：Aika・マーク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：Mizuki・マーク ：希望しない　・巾着ポーチが無料でついてくる! ：　</t>
    <phoneticPr fontId="1"/>
  </si>
  <si>
    <t>内容⇒【Kana】内容⇒【Yusuke】内容⇒【Toshiaki】　　　　・名入れ内容を記載してください ：Kana・マーク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：Yusuke・マーク ：希望しない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：Toshiaki・マーク ：希望しない　・巾着ポーチが無料でついてくる! ：　</t>
    <phoneticPr fontId="1"/>
  </si>
  <si>
    <t>内容⇒【Sakina】マーク⇒【バラ】内容⇒【Mone】マーク⇒【バラ】個別の包装をお願い致します。　　　　・名入れ内容を記載してください ：Sakina・マーク ：●【マーク:バラ】　・巾着ポーチが無料でついてくる! ：　■オプション内容(【名入れ】 プレゼント アヴェダ パドルブラシ ミニ パドル ブラシ AVEDA 誕生日プレゼント 女友達 ギフト レディース ヘアブラシ 頭皮 マッサージ 木製 くし サラサラ 髪 コーム ブラッシング ヘッドマッサージ 絡まない ブランド ギフト 2022年 新作 刻印 アベダ 名入り 敬老の日 プレゼント ホワイトデー お返し 2022)　　　・名入れ内容を記載してください ：Mone・マーク ：●【マーク:バラ】　・巾着ポーチが無料でついてくる! ：　</t>
    <phoneticPr fontId="1"/>
  </si>
  <si>
    <t>　　　・名入れ内容を記載してください ：Naoto・マーク ：希望しない　・巾着ポーチが無料でついてくる! ：　</t>
    <phoneticPr fontId="1"/>
  </si>
  <si>
    <t>　　　　・名入れ内容を記載してください ：Rara・マーク ：●【マーク:ハート】　・巾着ポーチが無料でついてくる! ：　</t>
    <phoneticPr fontId="1"/>
  </si>
  <si>
    <t>　　　　・名入れ内容を記載してください ：Syuka・マーク ：●【マーク:バラ】　・巾着ポーチが無料でついてくる! ：　</t>
    <phoneticPr fontId="1"/>
  </si>
  <si>
    <t>　●【マーク：流れ星】　　名入れyoshiko</t>
    <phoneticPr fontId="1"/>
  </si>
  <si>
    <t>　　　Natsuko (なつこ）のローマ字で名入れをお願いします。</t>
    <phoneticPr fontId="1"/>
  </si>
  <si>
    <t>●【宅急便】　●【希望する/無料】●【内容:Eri】　　</t>
    <phoneticPr fontId="1"/>
  </si>
  <si>
    <t>　●【マーク：希望しない】　　名入れ Mayu でお願いします。</t>
    <phoneticPr fontId="1"/>
  </si>
  <si>
    <t>　●【マーク：ハート】　　Sayakaお願いします。</t>
    <phoneticPr fontId="1"/>
  </si>
  <si>
    <t>　2022-03-11(金)16時～18時　　Mao とブラシに名前お願いします！</t>
    <phoneticPr fontId="1"/>
  </si>
  <si>
    <t>●【宅急便】　●【希望する/無料】●【内容:Riina】●【マーク:流れ星】　　以下の名入れ希望です。今は名入れ無料ですか？Riinaマークは流れ星</t>
    <phoneticPr fontId="1"/>
  </si>
  <si>
    <t>　●【マーク：鳥】【店舗発行クーポン利用額】10002022-03-11(金)　　Haru</t>
    <phoneticPr fontId="1"/>
  </si>
  <si>
    <t>　　　Madoka</t>
    <phoneticPr fontId="1"/>
  </si>
  <si>
    <t>　●【マーク：ハート】　　名入れ希望ですYui</t>
    <phoneticPr fontId="1"/>
  </si>
  <si>
    <t xml:space="preserve">　●【マーク：希望しない】2022-03-11(金)　　Karen </t>
    <phoneticPr fontId="1"/>
  </si>
  <si>
    <t>　　　名入れ希望文字→　airi</t>
    <phoneticPr fontId="1"/>
  </si>
  <si>
    <t>月260-1</t>
    <phoneticPr fontId="1"/>
  </si>
  <si>
    <t>月260-2</t>
    <phoneticPr fontId="1"/>
  </si>
  <si>
    <t>　●【マーク：ハート】2022-03-14(月)　　名入れ: Kumiko</t>
    <phoneticPr fontId="1"/>
  </si>
  <si>
    <t xml:space="preserve">　●【マーク：バラ】　　　・Mako・Yuka  </t>
    <phoneticPr fontId="1"/>
  </si>
  <si>
    <t>　●【マーク：バラ】　　　・Mako・Yuka　　　　どっちもバラ</t>
    <phoneticPr fontId="1"/>
  </si>
  <si>
    <t>　●【マーク：希望しない】2022-03-13(日)　　「Fuki」と名入れお願いします。</t>
    <phoneticPr fontId="1"/>
  </si>
  <si>
    <t>　●【マーク：ハート】　　名入れ希望ですChiemi</t>
    <phoneticPr fontId="1"/>
  </si>
  <si>
    <t>　●【マーク：希望しない】　　Yumika</t>
    <phoneticPr fontId="1"/>
  </si>
  <si>
    <t>●【宅急便】　●【希望する/無料】●【内容:Yukako】●【マーク:流れ星】　　名入れ希望ですが今回無料との事でよろしいでしょうか。</t>
    <phoneticPr fontId="1"/>
  </si>
  <si>
    <t>　●【マーク：希望しない】2022-03-12(土)　　Kyoka</t>
    <phoneticPr fontId="1"/>
  </si>
  <si>
    <t>　●【マーク：ハート】2022-03-14(月)　　Yukino</t>
    <phoneticPr fontId="1"/>
  </si>
  <si>
    <t>　●【マーク：希望しない】　　Maiko</t>
    <phoneticPr fontId="1"/>
  </si>
  <si>
    <t>●【宅急便】　●【希望する/無料】●【内容:Saori】　　</t>
    <phoneticPr fontId="1"/>
  </si>
  <si>
    <t>　内容⇒【Maaya】マーク⇒鳥2022-03-19(土)16時～18時　　</t>
    <phoneticPr fontId="1"/>
  </si>
  <si>
    <t>　●【マーク：希望しない】　　名入れ希望　下記Emiko</t>
    <phoneticPr fontId="1"/>
  </si>
  <si>
    <t>　●【マーク：希望しない】　　・名入れ希望→MITSUKA・3/24到着での指定日配達をお願いします。お届け日時欄にて選択が出来なかったため、こちらに記入します。</t>
    <phoneticPr fontId="1"/>
  </si>
  <si>
    <t>　●【マーク：希望しない】　　Natsuki</t>
    <phoneticPr fontId="1"/>
  </si>
  <si>
    <t>　●【マーク：希望しない】2022-03-16(水)　　Kyoko</t>
    <phoneticPr fontId="1"/>
  </si>
  <si>
    <t>　●【マーク：ハート】　　Keiko</t>
    <phoneticPr fontId="1"/>
  </si>
  <si>
    <t>　●【マーク：クローバー】　　--Kaori---------------------------------------</t>
    <phoneticPr fontId="1"/>
  </si>
  <si>
    <t>　●【マーク：クローバー】内容⇒【yurika】　　ゆりかでお願いします</t>
    <phoneticPr fontId="1"/>
  </si>
  <si>
    <t>　●【マーク：流れ星】内容⇒【sawako】　　さわこでお願いします</t>
    <phoneticPr fontId="1"/>
  </si>
  <si>
    <t>　●【マーク：スマイル】内容⇒【michiko】　　みちこでお願いします</t>
    <phoneticPr fontId="1"/>
  </si>
  <si>
    <t>　●【マーク：希望しない】　　名入れ Miki でお願いします。</t>
    <phoneticPr fontId="1"/>
  </si>
  <si>
    <t>●【宅急便】　●【希望する/無料】●【内容:Noa】●【マーク:ハート】　　</t>
    <phoneticPr fontId="1"/>
  </si>
  <si>
    <t>　●【マーク：スマイル】　　名前misaki</t>
    <phoneticPr fontId="1"/>
  </si>
  <si>
    <t xml:space="preserve">　●【マーク：バラ】2022-03-15(火)14:00-16:00　　Miyu </t>
    <phoneticPr fontId="1"/>
  </si>
  <si>
    <t>　●【マーク：希望しない】　内容⇒【Junna】内容⇒【Yuumi】　　JunnaYuumi</t>
    <phoneticPr fontId="1"/>
  </si>
  <si>
    <t>　2022-03-10(木)　　Keiko</t>
    <phoneticPr fontId="1"/>
  </si>
  <si>
    <t>　●【内容:Takako】　●【内容:Kayo】2022-03-10(木)　　</t>
    <phoneticPr fontId="1"/>
  </si>
  <si>
    <t>　●【マーク：ハート】　　名入れ希望です。Satomi</t>
    <phoneticPr fontId="1"/>
  </si>
  <si>
    <t>　　　　・名入れ内容(15文字まで)ご記入ください ：Natsuki・マーク ：●【マーク:クローバー】　・巾着ポーチが無料でついてくる! ：　</t>
    <phoneticPr fontId="1"/>
  </si>
  <si>
    <t>内容⇒【Etsuko】マーク⇒【流れ星】　●【名入れ希望する/無料】Etsuko　　</t>
    <phoneticPr fontId="1"/>
  </si>
  <si>
    <t>　●【マーク：スマイル】2022-03-12(土)　　Natchan</t>
    <phoneticPr fontId="1"/>
  </si>
  <si>
    <t>　●【マーク：ハート】2022-03-14(月)　　Yui</t>
    <phoneticPr fontId="1"/>
  </si>
  <si>
    <t>　●【マーク：希望しない】　　パドルの名入れRisa</t>
    <phoneticPr fontId="1"/>
  </si>
  <si>
    <t>●【マーク：ハート】　:Maaya　お支払い方法: PayPay残高払いコメント: 　お届け日: 　　</t>
    <phoneticPr fontId="1"/>
  </si>
  <si>
    <t>●【マーク：スマイル】　:Tomomi　お支払い方法: PayPay残高払いコメント: 　お届け日: 2022/03/15　　</t>
    <phoneticPr fontId="1"/>
  </si>
  <si>
    <t>　:Airi　お支払い方法: PayPay残高払いコメント: 　お届け日: 　　</t>
    <phoneticPr fontId="1"/>
  </si>
  <si>
    <t>　:Kaede　　コメント: 　09:00-12:00お届け日: 2022/03/09　　</t>
    <phoneticPr fontId="1"/>
  </si>
  <si>
    <t>　:ayumi　　コメント: 　お届け日: 2022/03/15　　</t>
    <phoneticPr fontId="1"/>
  </si>
  <si>
    <t>　:Mizuki　お支払い方法: PayPay残高払いコメント: 　お届け日: 　　</t>
    <phoneticPr fontId="1"/>
  </si>
  <si>
    <t>●【マーク：ハート】　:Nozomi　　コメント: 　お届け日: 　　</t>
    <phoneticPr fontId="1"/>
  </si>
  <si>
    <t>●【マーク：バラ】　:Mana　お支払い方法: PayPay残高払いコメント: 　お届け日: 　　</t>
    <phoneticPr fontId="1"/>
  </si>
  <si>
    <t>　:Nozomi　お支払い方法: PayPay残高払いコメント: 　お届け日: 　　</t>
    <phoneticPr fontId="1"/>
  </si>
  <si>
    <t>　:Arisa　お支払い方法: PayPay残高払いコメント: 名入れがどんな感じになるかの写真付きのメールを送ってください。　お届け日: 2022/03/10　　</t>
    <phoneticPr fontId="1"/>
  </si>
  <si>
    <t>●【マーク：クローバー】　:Ai　　コメント: 　お届け日: 2022/03/14　　</t>
    <phoneticPr fontId="1"/>
  </si>
  <si>
    <t>　　　・名入れ内容(15文字まで)ご記入ください ：misato・マーク ：●【マーク:ハート】　・巾着ポーチが無料でついてくる! ：　</t>
    <phoneticPr fontId="1"/>
  </si>
  <si>
    <t>　　　　・名入れ内容(15文字まで)ご記入ください ：Miho・マーク ：●【マーク:ハート】　・巾着ポーチが無料でついてくる! ：　</t>
    <phoneticPr fontId="1"/>
  </si>
  <si>
    <t>　　　　・名入れ内容(15文字まで)ご記入ください ：Junko・マーク ：●【マーク:ハート】　・巾着ポーチが無料でついてくる! ：　</t>
    <phoneticPr fontId="1"/>
  </si>
  <si>
    <t>　　　　・名入れ内容(15文字まで)ご記入ください ：Macha・マーク ：●【マーク:鳥】　・巾着ポーチが無料でついてくる! ：　</t>
    <phoneticPr fontId="1"/>
  </si>
  <si>
    <t>　　　・名入れ内容(15文字まで)ご記入ください ：Megumi・マーク ：●【マーク:ハート】　・巾着ポーチが無料でついてくる! ：　</t>
    <phoneticPr fontId="1"/>
  </si>
  <si>
    <t>　●【名入れ希望する/無料】名入れの名前Saoriでお願いします。　　</t>
    <phoneticPr fontId="1"/>
  </si>
  <si>
    <t>●【宅急便】　●【希望する/無料】●【内容:Ami】Amiで名入れお願いします。　　</t>
    <phoneticPr fontId="1"/>
  </si>
  <si>
    <t>　●【名入れ希望する/無料】名入れ: Misato　　</t>
    <phoneticPr fontId="1"/>
  </si>
  <si>
    <t>　●【マーク：希望しない】2022-03-12(土)　　Ayu</t>
    <phoneticPr fontId="1"/>
  </si>
  <si>
    <t>　●【マーク：希望しない】　2022-03-11(金)　　名前→(1本目) Miwa         (2本目) Sakura</t>
    <phoneticPr fontId="1"/>
  </si>
  <si>
    <t>　●【内容:Chisa】　　</t>
    <phoneticPr fontId="1"/>
  </si>
  <si>
    <t>　●【内容:Shiho】　　</t>
    <phoneticPr fontId="1"/>
  </si>
  <si>
    <t>　●【マーク：希望しない】　　Miku</t>
    <phoneticPr fontId="1"/>
  </si>
  <si>
    <t>　●【マーク：バラ】　　Nina</t>
    <phoneticPr fontId="1"/>
  </si>
  <si>
    <t>　●【マーク：バラ】　　名入れ希望です。YKRN</t>
    <phoneticPr fontId="1"/>
  </si>
  <si>
    <t>　●【マーク：希望しない】　　Haruna</t>
    <phoneticPr fontId="1"/>
  </si>
  <si>
    <t>　●【マーク：希望しない】　　Toshiko</t>
    <phoneticPr fontId="1"/>
  </si>
  <si>
    <t>内容⇒【Nana】　　　</t>
    <phoneticPr fontId="1"/>
  </si>
  <si>
    <t>　●【マーク：スマイル】　　しほ　Shiho</t>
    <phoneticPr fontId="1"/>
  </si>
  <si>
    <t>　●【マーク：バラ】　　名入れ→Yurina</t>
    <phoneticPr fontId="1"/>
  </si>
  <si>
    <t>　●【マーク：スマイル】　　MARIEでお願い致します。</t>
    <phoneticPr fontId="1"/>
  </si>
  <si>
    <t>　●【内容:Noriko】●【マーク:ハート】2022-03-12(土)　　</t>
    <phoneticPr fontId="1"/>
  </si>
  <si>
    <t>　●【内容:Aya】●【マーク:ハート】　　</t>
    <phoneticPr fontId="1"/>
  </si>
  <si>
    <t>　●【内容:Chikako】●【マーク:ハート】　　</t>
    <phoneticPr fontId="1"/>
  </si>
  <si>
    <t>　2022-03-12(土)　　Yuuka</t>
    <phoneticPr fontId="1"/>
  </si>
  <si>
    <t>　●【マーク：スマイル】　　名前は　JUNKOマークは　スマイルで刻印お願いします。</t>
    <phoneticPr fontId="1"/>
  </si>
  <si>
    <t>　●【内容:Ayumi】●【マーク:ハート】　　</t>
    <phoneticPr fontId="1"/>
  </si>
  <si>
    <t>(第二)月3</t>
  </si>
  <si>
    <t>【Alice Flower】ガラスの靴 プリンセス&amp;ヴィランス■種類:美女と野獣 ■JAN:4573152420423 ◆緩衝材・天地無用・取扱注意</t>
  </si>
  <si>
    <t>●【hana-004-0-bell/美女と野獣】</t>
  </si>
  <si>
    <t>https://item.rakuten.co.jp/prime-market/hana-004</t>
  </si>
  <si>
    <t>(第二)月14</t>
  </si>
  <si>
    <t>【Alice Flower】花時計 シック■カラー：ノスタルジックピンク ■JAN:4573152424971 ◆SS箱・緩衝材・プチシート・天地無用・割物注意</t>
  </si>
  <si>
    <t>●【hana-073-0-pk/ノスタルジックピンク】</t>
  </si>
  <si>
    <t>https://item.rakuten.co.jp/prime-market/hana-073</t>
  </si>
  <si>
    <t>(第二)月35</t>
  </si>
  <si>
    <t>【Alice Flower】ヒールアレンジ バラ3輪 パールピック付■カラー：レッド ■JAN:4573152420102 ◆緩衝材・天地無用・取扱注意</t>
  </si>
  <si>
    <t>●【hana-002-0-rd/レッド】</t>
  </si>
  <si>
    <t>https://item.rakuten.co.jp/prime-market/hana-002</t>
  </si>
  <si>
    <t>(第二)月37</t>
  </si>
  <si>
    <t>【モンルル】完全遮光日傘■カラー:ネイビー×2ライン ■JAN:4573250066448 ◆宅配大・プチシート・取扱注意</t>
  </si>
  <si>
    <t>●【monloulou-001-0-nv2l】</t>
  </si>
  <si>
    <t>https://item.rakuten.co.jp/prime-market/monloulou-001</t>
  </si>
  <si>
    <t>(第二)月38-1</t>
  </si>
  <si>
    <t>(第二)月38-2</t>
  </si>
  <si>
    <t>【モンルル】完全遮光日傘■カラー:ピンクベージュ×2ライン ■JAN:4573250066424 ◆宅配大・プチシート・取扱注意</t>
  </si>
  <si>
    <t>●【monloulou-001-0-pk2l】</t>
  </si>
  <si>
    <t>(第二)月40</t>
  </si>
  <si>
    <t>【モンルル】完全遮光日傘■カラー:ブラック×2ライン ■JAN:4573250066400 ◆宅配大・プチシート・取扱注意</t>
  </si>
  <si>
    <t>●【monloulou-001-0-bk2l】</t>
  </si>
  <si>
    <t>(第二)月1</t>
  </si>
  <si>
    <t>【C-2-2】【木箱入り 木製USB 3.0】32GB■カラー:ブラウン ■JAN:2400000001652 ◆封筒3</t>
  </si>
  <si>
    <t>●【usb-013-0-br/ブラウン】</t>
  </si>
  <si>
    <t>https://item.rakuten.co.jp/prime-market/usb-013</t>
  </si>
  <si>
    <t>箱内容1行目⇒【Happy Wedding】</t>
  </si>
  <si>
    <t>箱内容2行目⇒【Soya &amp; Onri】</t>
  </si>
  <si>
    <t>本体内容⇒【soya &amp; onri】</t>
  </si>
  <si>
    <t>フォント⇒【A筆記体】</t>
  </si>
  <si>
    <t>刻印位置⇒【USBと箱】</t>
  </si>
  <si>
    <t>(第二)月2</t>
  </si>
  <si>
    <t>【C-2-2】【キーリング付きUSB】16GB ■カラー:ホワイト ■JAN:2400000000488 ◆封筒3</t>
  </si>
  <si>
    <t>●【usb-003-0-wh/ホワイト】</t>
  </si>
  <si>
    <t>https://item.rakuten.co.jp/prime-market/usb-003</t>
  </si>
  <si>
    <t>内容⇒【Ryota Watanabe】</t>
  </si>
  <si>
    <t>(第二)月4</t>
  </si>
  <si>
    <t>『B-01-06』【木製箱入りUSBメモリ】32GB ■カラー:レッド■フォント:A筆記体 ■JAN:2400000000730 ◆封筒3</t>
  </si>
  <si>
    <t>●【usb-008-naire-rd-a/レッド】</t>
  </si>
  <si>
    <t>https://item.rakuten.co.jp/prime-market/usb-008</t>
  </si>
  <si>
    <t>内容⇒【Supreme Morality】</t>
  </si>
  <si>
    <t>(第二)月5-1</t>
  </si>
  <si>
    <t>『C-2-3』【筒形ラインストーンUSB】32GB■カラー:ピンク■レーザー■フォント:A筆記体 ■JAN:2400000001539 ◆封筒3</t>
  </si>
  <si>
    <t>●【usb-012-naire-pk-lea/ピンク】</t>
  </si>
  <si>
    <t>https://item.rakuten.co.jp/prime-market/usb-012</t>
  </si>
  <si>
    <t>内容⇒【Chihiro.T】</t>
  </si>
  <si>
    <t>(第二)月5-2</t>
  </si>
  <si>
    <t>内容⇒【Yukino.H】</t>
  </si>
  <si>
    <t>(第二)月11</t>
  </si>
  <si>
    <t>【C-2-3】【竹製キャッシュトレー】大 ■JAN:2400000001553 ◆封筒2</t>
  </si>
  <si>
    <t>●【tray-001】</t>
  </si>
  <si>
    <t>https://item.rakuten.co.jp/prime-market/tray-001</t>
  </si>
  <si>
    <t>1点目1行目⇒【今日は私をねぎらおう】</t>
  </si>
  <si>
    <t>1点目2行目⇒【おさじ】</t>
  </si>
  <si>
    <t>フォント⇒【B丸ゴシック】</t>
  </si>
  <si>
    <t>(第二)月12</t>
  </si>
  <si>
    <t>【C-2-5】【USB】スマートフォン USBメモリ 64GB 白箱入り ■カラー:02.ブラック ■JAN:2400000008620</t>
  </si>
  <si>
    <t>●【usb-016-0-bk/ブラック】</t>
  </si>
  <si>
    <t>https://item.rakuten.co.jp/prime-market/usb-016</t>
  </si>
  <si>
    <t>内容⇒【Seiryu.O】</t>
  </si>
  <si>
    <t>(第二)月13-1</t>
  </si>
  <si>
    <t>【C-2-3】【Flash Drive(箱入り)】64GB ■カラー:ブラック ■JAN:2400000000839 ◆封筒3</t>
  </si>
  <si>
    <t>●【usb-009-0-bk/ブラック】</t>
  </si>
  <si>
    <t>https://item.rakuten.co.jp/prime-market/usb-009</t>
  </si>
  <si>
    <t>内容⇒【Yuya】</t>
  </si>
  <si>
    <t>(第二)月13-2</t>
  </si>
  <si>
    <t>【C-2-2】【Flash Drive(箱入り)】64GB ■カラー:ブルー ■JAN:2400000000822 ◆封筒3</t>
  </si>
  <si>
    <t>●【usb-009-0-bl/ブルー】</t>
  </si>
  <si>
    <t>内容⇒【Anna】</t>
  </si>
  <si>
    <t>(第二)月13-3</t>
  </si>
  <si>
    <t>【C-2-2】【Flash Drive(箱入り)】64GB ■カラー:ピンク ■JAN:2400000000815 ◆封筒3</t>
  </si>
  <si>
    <t>●【usb-009-0-pk/ピンク】</t>
  </si>
  <si>
    <t>内容⇒【Miki】</t>
  </si>
  <si>
    <t>(第二)月13-4</t>
  </si>
  <si>
    <t>【C-2-2】【iPhone Android対応USB】64GB ■カラー:レッド ■JAN:2400000000808 ◆封筒3</t>
  </si>
  <si>
    <t>●【usb-009-0-rd/レッド】</t>
  </si>
  <si>
    <t>内容⇒【Momoko】</t>
  </si>
  <si>
    <t>(第二)月16</t>
  </si>
  <si>
    <t>【C-2-4】【USB】LEDライト 64GB 銀缶入り■カラー:02.ブルー ■JAN:2400000008545</t>
  </si>
  <si>
    <t>●【usb-014-0-bl/ブルー】</t>
  </si>
  <si>
    <t>https://item.rakuten.co.jp/prime-market/usb-014</t>
  </si>
  <si>
    <t>内容⇒【DAIKI】</t>
  </si>
  <si>
    <t>(第二)月17-1</t>
  </si>
  <si>
    <t>内容⇒【金子眞理】</t>
  </si>
  <si>
    <t>フォント⇒【C明朝体】</t>
  </si>
  <si>
    <t>(第二)月17-2</t>
  </si>
  <si>
    <t>フォント⇒【桐岡亜由美】</t>
  </si>
  <si>
    <t>(第二)月17-3</t>
  </si>
  <si>
    <t>内容⇒【糸井嘉】</t>
  </si>
  <si>
    <t>(第二)月17-4</t>
  </si>
  <si>
    <t>内容⇒【森希理恵】</t>
  </si>
  <si>
    <t>(第二)月18</t>
  </si>
  <si>
    <t>【C-2-3】【筒形ラインストーンUSB】32GB 透明ケース入り ■カラー:イエロー ■JAN:2400000001515 ◆封筒3</t>
  </si>
  <si>
    <t>●【usb-012-0-yl/イエロー】</t>
  </si>
  <si>
    <t>内容⇒【Emika】</t>
  </si>
  <si>
    <t>(第二)月19</t>
  </si>
  <si>
    <t>【C-2-2】【Flash Drive(箱入り)】128GB ■カラー:ブラック ■JAN:2400000000877 ◆封筒2</t>
  </si>
  <si>
    <t>●【usb-010-0-bk/ブラック】</t>
  </si>
  <si>
    <t>https://item.rakuten.co.jp/prime-market/usb-010</t>
  </si>
  <si>
    <t>内容⇒【Kenzo】</t>
  </si>
  <si>
    <t>(第二)月20-1</t>
  </si>
  <si>
    <t>『F-07-06』【スタバ】ロゴマグ ブラック 300ml ■JAN:4524785245396 ◆G箱・緩衝材・プチ小・取扱注意</t>
  </si>
  <si>
    <t>●【etc-291】</t>
  </si>
  <si>
    <t>https://item.rakuten.co.jp/prime-market/etc-291</t>
  </si>
  <si>
    <t>内容⇒【Shinji】</t>
  </si>
  <si>
    <t>(第二)月20-2</t>
  </si>
  <si>
    <t>内容⇒【Taiga】</t>
  </si>
  <si>
    <t>(第二)月20-3</t>
  </si>
  <si>
    <t>内容⇒【Masato】</t>
  </si>
  <si>
    <t>(第二)月21</t>
  </si>
  <si>
    <t>『C-2-3』【キーリング付きUSB】16GB ■カラー:ホワイト■フォント:A筆記体 ■JAN:2400000000488 ◆封筒3</t>
  </si>
  <si>
    <t>●【usb-003-naire-wh-a/ホワイト】</t>
  </si>
  <si>
    <t>内容⇒【Yumiko】</t>
  </si>
  <si>
    <t>(第二)月22</t>
  </si>
  <si>
    <t>【C-1-3】【アイコス】イルマ ■カラー:ぺプルグレー ■JAN:7622100829195 ◆宅配小・プチ小・取扱注意</t>
  </si>
  <si>
    <t>●【iqos-004-0-gy/ベルベットグレー】</t>
  </si>
  <si>
    <t>https://item.rakuten.co.jp/prime-market/iqos-004</t>
  </si>
  <si>
    <t>内容⇒【K.utsunomiya】</t>
  </si>
  <si>
    <t>刻印位置⇒【ケースのみ】</t>
  </si>
  <si>
    <t>(第二)月23</t>
  </si>
  <si>
    <t>内容1⇒【Mizuho.O】</t>
  </si>
  <si>
    <t>(第二)月24</t>
  </si>
  <si>
    <t>【C-2-3】【木製キャッシュトレー】■カラー:ナチュラル ■JAN:2400000001713 ◆封筒2</t>
  </si>
  <si>
    <t>●【tray-004-0-na/ナチュラル】</t>
  </si>
  <si>
    <t>https://item.rakuten.co.jp/prime-market/tray-004</t>
  </si>
  <si>
    <t>内容1行目⇒【HairSalon】</t>
  </si>
  <si>
    <t>内容2行目⇒【りなんち】</t>
  </si>
  <si>
    <t>(第二)月25-1</t>
  </si>
  <si>
    <t>内容⇒【S.Onoda】</t>
  </si>
  <si>
    <t>箱内容1行目⇒【Yokohama H.S.】</t>
  </si>
  <si>
    <t>箱内容2行目⇒【Archery 2022.3】</t>
  </si>
  <si>
    <t>(第二)月25-2</t>
  </si>
  <si>
    <t>内容⇒【Y.Ogino】</t>
  </si>
  <si>
    <t>(第二)月25-3</t>
  </si>
  <si>
    <t>内容⇒【M.Mitsubori】</t>
  </si>
  <si>
    <t>(第二)月25-4</t>
  </si>
  <si>
    <t>内容⇒【G.Ono】</t>
  </si>
  <si>
    <t>(第二)月25-5</t>
  </si>
  <si>
    <t>内容⇒【K.Ando】</t>
  </si>
  <si>
    <t>(第二)月25-6</t>
  </si>
  <si>
    <t>内容⇒【K.Kubota】</t>
  </si>
  <si>
    <t>(第二)月25-7</t>
  </si>
  <si>
    <t>内容⇒【K.Kakuta】</t>
  </si>
  <si>
    <t>(第二)月25-8</t>
  </si>
  <si>
    <t>内容⇒【Y.Hanya】</t>
  </si>
  <si>
    <t>(第二)月25-9</t>
  </si>
  <si>
    <t>内容⇒【S.Shima】</t>
  </si>
  <si>
    <t>(第二)月26</t>
  </si>
  <si>
    <t>【C-2-9】【レザー製メガネケース】■カラー:レッド ■JAN:2400000000570 ◆宅配小・プチ小</t>
  </si>
  <si>
    <t>●【leather-001-0-rd/レッド】</t>
  </si>
  <si>
    <t>https://item.rakuten.co.jp/prime-market/leather-001</t>
  </si>
  <si>
    <t>内容⇒【Hitomi】</t>
  </si>
  <si>
    <t>刻印位置⇒【裏側】</t>
  </si>
  <si>
    <t>(第二)月27</t>
  </si>
  <si>
    <t>【C-2-2】【木製箱入りUSBメモリ】32GB ■カラー:レッド ■JAN:2400000000730 ◆封筒3</t>
  </si>
  <si>
    <t>●【usb-008-0-rd/レッド】</t>
  </si>
  <si>
    <t>箱内容⇒【heykazma】</t>
  </si>
  <si>
    <t>本体内容⇒【heykazma】</t>
  </si>
  <si>
    <t>(第二)月28</t>
  </si>
  <si>
    <t>【C-2-2】【木箱入り 木製USB 3.0】32GB■カラー:ダークブラウン ■JAN:2400000001621 ◆封筒3</t>
  </si>
  <si>
    <t>●【usb-013-0-dbr/ダークブラウン】</t>
  </si>
  <si>
    <t>箱内容1行目⇒【Happybirthday】</t>
  </si>
  <si>
    <t>箱内容2行目⇒【2022.03.30】</t>
  </si>
  <si>
    <t>本体内容⇒【Takuma】</t>
  </si>
  <si>
    <t>(第二)月29</t>
  </si>
  <si>
    <t>箱内容⇒【Go to the next stage】</t>
  </si>
  <si>
    <t>本体内容⇒【A．Kazushi】</t>
  </si>
  <si>
    <t>(第二)月30-1</t>
  </si>
  <si>
    <t>【C-2-2】【ラインストーンUSB】32GB ■カラー:ブルー ■JAN:2400000000501 ◆封筒3</t>
  </si>
  <si>
    <t>●【usb-005-0-bl/ブルー】</t>
  </si>
  <si>
    <t>https://item.rakuten.co.jp/prime-market/usb-005</t>
  </si>
  <si>
    <t>内容⇒【Kouga】</t>
  </si>
  <si>
    <t>(第二)月30-2</t>
  </si>
  <si>
    <t>【C-2-2】【ラインストーンUSB】32GB ■カラー:パープル ■JAN:2400000000525 ◆封筒3</t>
  </si>
  <si>
    <t>●【usb-005-0-pp/パープル】</t>
  </si>
  <si>
    <t>内容⇒【Fuuka】</t>
  </si>
  <si>
    <t>(第二)月30-3</t>
  </si>
  <si>
    <t>【C-2-2】【ラインストーンUSB】32GB ■カラー:レッド ■JAN:2400000000495 ◆封筒3</t>
  </si>
  <si>
    <t>●【usb-005-0-rd/レッド】</t>
  </si>
  <si>
    <t>内容⇒【Maika】</t>
  </si>
  <si>
    <t>(第二)月31-1</t>
  </si>
  <si>
    <t>【C-2-3】【クリスタルUSB】32GB ■カラー:ゴールド ■JAN:2400000000778 ◆封筒3</t>
  </si>
  <si>
    <t>●【usb-007-0-gd/ゴールド】</t>
  </si>
  <si>
    <t>https://item.rakuten.co.jp/prime-market/usb-007</t>
  </si>
  <si>
    <t>内容⇒【Yurika】</t>
  </si>
  <si>
    <t>刻印方法⇒【通常彫り】</t>
  </si>
  <si>
    <t>(第二)月31-2</t>
  </si>
  <si>
    <t>内容⇒【Megu】</t>
  </si>
  <si>
    <t>(第二)月31-3</t>
  </si>
  <si>
    <t>内容⇒【Yuu】</t>
  </si>
  <si>
    <t>(第二)月31-4</t>
  </si>
  <si>
    <t>内容⇒【Mizuho】</t>
  </si>
  <si>
    <t>(第二)月31-5</t>
  </si>
  <si>
    <t>内容⇒【Yuzuki】</t>
  </si>
  <si>
    <t>(第二)月31-6</t>
  </si>
  <si>
    <t>内容⇒【Emina】</t>
  </si>
  <si>
    <t>(第二)月31-7</t>
  </si>
  <si>
    <t>内容⇒【Nanako】</t>
  </si>
  <si>
    <t>(第二)月31-8</t>
  </si>
  <si>
    <t>内容⇒【Miyu】</t>
  </si>
  <si>
    <t>(第二)月31-9</t>
  </si>
  <si>
    <t>内容⇒【Rina】</t>
  </si>
  <si>
    <t>(第二)月31-10</t>
  </si>
  <si>
    <t>内容⇒【Norika】</t>
  </si>
  <si>
    <t>(第二)月32-1</t>
  </si>
  <si>
    <t>【C-2-2】【木箱入り 木製USB 3.0】32GB■カラー:ライトブラウン ■JAN:2400000001645 ◆封筒3</t>
  </si>
  <si>
    <t>●【usb-013-0-lbr/ライトブラウン】</t>
  </si>
  <si>
    <t>箱内容2行目⇒【2021.10.23】</t>
  </si>
  <si>
    <t>本体内容⇒【K &amp; R】</t>
  </si>
  <si>
    <t>(第二)月32-2</t>
  </si>
  <si>
    <t>(第二)月32-3</t>
  </si>
  <si>
    <t>(第二)月34</t>
  </si>
  <si>
    <t>【アイコス】イルマ ■カラー:ペプルベージュ ■JAN:7622100829171 ◆宅配小・プチ小・取扱注意</t>
  </si>
  <si>
    <t>●【iqos-004-0-be/ベージュ】</t>
  </si>
  <si>
    <t>ケース内容⇒【Hiroki.O】</t>
  </si>
  <si>
    <t>本体内容⇒【Hiroki.O】</t>
  </si>
  <si>
    <t>刻印位置⇒【ケースと本体】</t>
  </si>
  <si>
    <t>(第二)月36</t>
  </si>
  <si>
    <t>【C-0-3】【木製ボールペン】専用BOX付■カラー:レッド ■JAN:2400000001331 ◆封筒3</t>
  </si>
  <si>
    <t>●【pen-001-0-rd/レッド】</t>
  </si>
  <si>
    <t>https://item.rakuten.co.jp/prime-market/pen-001</t>
  </si>
  <si>
    <t>内容⇒【Tomoyo  Y.】</t>
  </si>
  <si>
    <t>刻印位置⇒【ペンのみ】</t>
  </si>
  <si>
    <t>(第二)月39</t>
  </si>
  <si>
    <t>内容1行目⇒【39℃】</t>
  </si>
  <si>
    <t>内容2行目⇒【since2022】</t>
  </si>
  <si>
    <t>(第二)月41</t>
  </si>
  <si>
    <t>内容⇒【Yuto】</t>
  </si>
  <si>
    <t>(第二)月42</t>
  </si>
  <si>
    <t>【C-0-4】【木製ボールペン】専用BOX付■カラー:ナチュラル ■JAN:2400000001324 ◆封筒3</t>
  </si>
  <si>
    <t>●【pen-001-0-na/ナチュラル】</t>
  </si>
  <si>
    <t>内容⇒【Akari Hoshi】</t>
  </si>
  <si>
    <t>月7</t>
    <phoneticPr fontId="1"/>
  </si>
  <si>
    <t>月368</t>
    <phoneticPr fontId="1"/>
  </si>
  <si>
    <t>月309</t>
    <phoneticPr fontId="1"/>
  </si>
  <si>
    <t>箔押し</t>
    <rPh sb="0" eb="2">
      <t>ハクオ</t>
    </rPh>
    <phoneticPr fontId="1"/>
  </si>
  <si>
    <t xml:space="preserve"> </t>
    <phoneticPr fontId="1"/>
  </si>
  <si>
    <t>hana-080-0-12:S.Natsue　　コメント: 　お届け日: 2022/03/09　　</t>
    <phoneticPr fontId="1"/>
  </si>
  <si>
    <t>hana-081-0-jas:Nanao　　コメント: 　お届け日: 2022/03/08　　</t>
    <phoneticPr fontId="1"/>
  </si>
  <si>
    <t>hana-070-0-elsa●【内容:Nanami.S】　　</t>
    <phoneticPr fontId="1"/>
  </si>
  <si>
    <t>hana-070-0-tink●【内容:Rie.Y】2022-03-11(金)　　</t>
    <phoneticPr fontId="1"/>
  </si>
  <si>
    <t>hana-081-gift-naire-0-ursla:Nobue Ono ↑ペンに入れる名前 地域.高年福祉課一同</t>
    <phoneticPr fontId="1"/>
  </si>
  <si>
    <t>hana-070-0-rap:Harumi　お支払い方法: PayPayあと払いコメント: 　お届け日: 2022/03/15　　</t>
    <phoneticPr fontId="1"/>
  </si>
  <si>
    <t>hana-070-0-bell:Akika　　コメント: 　14:00-16:00お届け日: 2022/03/08　　</t>
    <phoneticPr fontId="1"/>
  </si>
  <si>
    <t>hana-070-0-slb:Maika　　コメント: 　14:00-16:00お届け日: 2022/03/08　　</t>
    <phoneticPr fontId="1"/>
  </si>
  <si>
    <t>hana-070-0-lmd:Kotona　　コメント: 　14:00-16:00お届け日: 2022/03/08　　</t>
    <phoneticPr fontId="1"/>
  </si>
  <si>
    <t>hana-070-0-rap:Mina　　コメント: 　14:00-16:00お届け日: 2022/03/08　　</t>
    <phoneticPr fontId="1"/>
  </si>
  <si>
    <t>　　　　・名入れ内容を記載してください ：chiaki　・今だけ限定 ：　・ネコポス配送の場合、代金引換不可・到着日指定不可・即日配送適応外(1～2日かかります)となります。 ：</t>
    <phoneticPr fontId="1"/>
  </si>
  <si>
    <t>　　　　・名入れ内容を記載してください ：Ayaka.T　・今だけ限定 ：　・ネコポス配送の場合、代金引換不可・到着日指定不可・即日配送適応外(1～2日かかります)となります。 ：</t>
    <phoneticPr fontId="1"/>
  </si>
  <si>
    <t>hana-070-0-ursula内容⇒【A.jun】hana-070-0-cid内容⇒【K.miyuki】hana-070-0-slb内容⇒【M.masako】hana-070-0-elsa内容⇒【Mayumi】　　　・名入れ内容を記載してください ：A.jun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シンデレラ)　　　・名入れ内容を記載してください ：K.miyuki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眠れる森の美女)　　　・名入れ内容を記載してください ：M.masako　・今だけ限定 ：　・ネコポス配送の場合、代金引換不可・到着日指定不可・即日配送適応外(1～2日かかります)となります。 ：■オプション内容(ハーバリウムボールペン ハーバリウム ボールペン 名入れ 完成品 ボールペン 1本から 名入り ハーバリウム ペン プリザーブドフラワー ギフト 誕生日 花 女性 レディース お祝い 実用的 かわいい ブランド おしゃれ キラキラ 1本から 小さな 【メール便】プレゼント 敬老の日 プレゼント ホワイトデー お返し 2022 ． 雪の女王)　　　・名入れ内容を記載してください ：Mayumi　・今だけ限定 ：　・ネコポス配送の場合、代金引換不可・到着日指定不可・即日配送適応外(1～2日かかります)となります。 ：</t>
    <phoneticPr fontId="1"/>
  </si>
  <si>
    <t>hana-070-0-slb2022-03-16(水)　Hiroko　　</t>
    <phoneticPr fontId="1"/>
  </si>
  <si>
    <t>hana-070-0-cidKARNA　　</t>
    <phoneticPr fontId="1"/>
  </si>
  <si>
    <t>hana-070-0-rap名入れ：mie Shimojo　　</t>
    <phoneticPr fontId="1"/>
  </si>
  <si>
    <t>hana-070-0-rap内容⇒【D.Yukiko】　　複数購入のバナーが出て来ません。以下のサイトも見ましたがよく分かりませんでした…。名入れしたいです。有料認識済みです。D.Yukikoで、お願いします。</t>
    <phoneticPr fontId="1"/>
  </si>
  <si>
    <t>hana-096-0-br●【内容:saho】　　名入れ：sahoラッピング希望共にオプション購入入れておりますよろしくお願い致します</t>
    <phoneticPr fontId="1"/>
  </si>
  <si>
    <t>内容⇒【happy birth day  yumi】</t>
    <phoneticPr fontId="1"/>
  </si>
  <si>
    <t>内容1行目⇒【Best wishe】</t>
    <phoneticPr fontId="1"/>
  </si>
  <si>
    <t>内容2行目⇒【Akemi 3.11】</t>
    <phoneticPr fontId="1"/>
  </si>
  <si>
    <t>hana-002-0-bl●【筆記体】　　Yuki</t>
    <phoneticPr fontId="1"/>
  </si>
  <si>
    <t>月139</t>
    <phoneticPr fontId="1"/>
  </si>
  <si>
    <t>hana-071-0-cidbl●【フォント：筆記体】内容⇒【A.clear】　【水引の下(連名1)】：由本興業【連名2】：【連名3】：開店祝いの贈り物です。A.clearは店の名前なのでできるだけ大きく名入れ希望です。よろしくお願いいたします</t>
    <phoneticPr fontId="1"/>
  </si>
  <si>
    <t>内容1行目⇒【Happy 80th Birthday. MIYOKO!】</t>
    <phoneticPr fontId="1"/>
  </si>
  <si>
    <t>内容2行目⇒【that this continues forever...】</t>
    <phoneticPr fontId="1"/>
  </si>
  <si>
    <t>内容⇒【Makoto. K】</t>
    <phoneticPr fontId="1"/>
  </si>
  <si>
    <t>内容⇒【REIKO】</t>
    <phoneticPr fontId="1"/>
  </si>
  <si>
    <t>内容⇒【RURI】</t>
    <phoneticPr fontId="1"/>
  </si>
  <si>
    <t>内容⇒【Karen】</t>
    <phoneticPr fontId="1"/>
  </si>
  <si>
    <t>月24</t>
    <phoneticPr fontId="1"/>
  </si>
  <si>
    <t>hana-075-0-brpp</t>
    <phoneticPr fontId="1"/>
  </si>
  <si>
    <t>●【ガラスに名入れする/1100円】●【フォント：丸ゴシック】hana-075-0-brpp:  Thanks for everything.  ;  from 道上小学校職員一同　　コメント: 　お届け日: 2022/03/06　着荷種別: あすつく注文『翌日配送』</t>
    <phoneticPr fontId="1"/>
  </si>
  <si>
    <t>　　●【ガラスに名入れする/1100円】・フォントの選択 ：●【フォント:筆記体】・1行目/上段名入れ内容を半角22文字以内で記入してください ：HappyWedding2022.03.26・2行目/下段名入れ内容を半角22文字以内で記入してください ：Naoki × Manami・紙袋を無料で ：　・メッセージカードを ：希望しない・熨斗の種類 ：</t>
    <phoneticPr fontId="1"/>
  </si>
  <si>
    <t>1行目⇒【Congratulations　on　your　marriage.】2行目⇒【2022.2.2】3行目⇒【Takahiro(塗りつぶしハート)Yuuna】hana-075-0-whpk●【刻印位置:ガラスに名入れする/1100円】●【フォント:筆記体】●【１行目（上段）:2022.2.2】●【２行目（下段）:TakahiroYuuna】【店舗発行クーポン利用額】1000【のし】★【御結婚御祝】　【水引の下(連名1)】：岡田繁範【連名2】：【連名3】：筆記体でガラス面1段目にCongratulations　on　your　marriage.2段目に2022.2.23段目にTakahiro&amp;#9829;&amp;#65039;Yuunaを希望。</t>
    <phoneticPr fontId="1"/>
  </si>
  <si>
    <t>●【木枠に名入れする/1100円】●【フォント：明朝体】hana-075-0-whbl:長い間お仕事お疲れ様でした;2022.3 Ｍiho.Fumi.Taka　お支払い方法: PayPay残高払いコメント: 　09:00-12:00お届け日: 2022/03/09　　</t>
    <phoneticPr fontId="1"/>
  </si>
  <si>
    <t>月100</t>
    <phoneticPr fontId="1"/>
  </si>
  <si>
    <t>●【木枠に名入れする/1100円】●【フォント：筆記体】上段⇒【Happy Wedding】下段⇒【Eri♡Shoichi 2022/1/23】hana-075-0-whpk:Happy Wedding;Eri&amp;#9825;Shoichi 2022/1/23　お支払い方法: PayPay残高払いコメント: 　お届け日: 2022/03/11　　</t>
    <phoneticPr fontId="1"/>
  </si>
  <si>
    <t>●【木枠に名入れする/1100円】●【フォント：筆記体】hana-075-0-whrd:1st Anniversary　;　Fumiya &amp; Hitomi　お支払い方法: PayPay残高払いコメント: 　お届け日: 　　</t>
    <phoneticPr fontId="1"/>
  </si>
  <si>
    <t>hana-075-0-whrd●【木枠に名入れする】●【フォント：明朝体】上段⇒【thank you yukimi(ハートマーク)】下段⇒【感謝を込めて　2022.3.31】2022-03-12(土)　　名入れ1100円　ラッピング550円希望上段にthank you yukimi&amp;#9825;下段に　感謝を込めて　2022.3.31宜しくお願いします</t>
    <phoneticPr fontId="1"/>
  </si>
  <si>
    <t>1点目</t>
  </si>
  <si>
    <t>2点目</t>
  </si>
  <si>
    <t>フォント</t>
  </si>
  <si>
    <t>文字サイズ</t>
    <rPh sb="0" eb="2">
      <t>モジ</t>
    </rPh>
    <phoneticPr fontId="1"/>
  </si>
  <si>
    <t>1点目QR</t>
  </si>
  <si>
    <t>2点目QR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</si>
</sst>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11]#,##0;[$¥-411]#,##0"/>
  </numFmts>
  <fonts count="10" x14ac:knownFonts="1">
    <font>
      <sz val="11"/>
      <color theme="1"/>
      <name val="游ゴシック"/>
      <family val="2"/>
      <charset val="128"/>
      <scheme val="minor"/>
    </font>
    <font>
      <sz val="6"/>
      <name val="游ゴシック"/>
      <family val="2"/>
      <charset val="128"/>
      <scheme val="minor"/>
    </font>
    <font>
      <b/>
      <sz val="11"/>
      <color rgb="FFFF0000"/>
      <name val="游ゴシック"/>
      <family val="3"/>
      <charset val="128"/>
      <scheme val="minor"/>
    </font>
    <font>
      <b/>
      <sz val="11"/>
      <color theme="1"/>
      <name val="游ゴシック"/>
      <family val="3"/>
      <charset val="128"/>
      <scheme val="minor"/>
    </font>
    <font>
      <sz val="11"/>
      <name val="游ゴシック"/>
      <family val="3"/>
      <charset val="128"/>
      <scheme val="minor"/>
    </font>
    <font>
      <b/>
      <sz val="11"/>
      <name val="游ゴシック"/>
      <family val="3"/>
      <charset val="128"/>
      <scheme val="minor"/>
    </font>
    <font>
      <b/>
      <sz val="15"/>
      <color theme="3"/>
      <name val="游ゴシック"/>
      <family val="2"/>
      <charset val="128"/>
      <scheme val="minor"/>
    </font>
    <font>
      <sz val="11"/>
      <color rgb="FFFF0000"/>
      <name val="游ゴシック"/>
      <family val="2"/>
      <charset val="128"/>
      <scheme val="minor"/>
    </font>
    <font>
      <sz val="11"/>
      <color rgb="FFFF0000"/>
      <name val="游ゴシック"/>
      <family val="3"/>
      <charset val="128"/>
      <scheme val="minor"/>
    </font>
    <font>
      <sz val="11"/>
      <name val="游ゴシック"/>
      <family val="2"/>
      <charset val="128"/>
      <scheme val="minor"/>
    </font>
  </fonts>
  <fills count="4">
    <fill>
      <patternFill patternType="none"/>
    </fill>
    <fill>
      <patternFill patternType="gray125"/>
    </fill>
    <fill>
      <patternFill patternType="solid">
        <fgColor rgb="FFFFFF00"/>
        <bgColor indexed="64"/>
      </patternFill>
    </fill>
    <fill>
      <patternFill patternType="solid">
        <fgColor rgb="FFFFC000"/>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24">
    <xf numFmtId="0" fontId="0" fillId="0" borderId="0" xfId="0">
      <alignment vertical="center"/>
    </xf>
    <xf numFmtId="0" fontId="0" fillId="0" borderId="0" xfId="0" applyFill="1">
      <alignment vertical="center"/>
    </xf>
    <xf numFmtId="0" fontId="2" fillId="0" borderId="0" xfId="0" applyFont="1" applyFill="1">
      <alignment vertical="center"/>
    </xf>
    <xf numFmtId="0" fontId="3" fillId="2" borderId="1" xfId="0" applyFont="1" applyFill="1" applyBorder="1">
      <alignment vertical="center"/>
    </xf>
    <xf numFmtId="0" fontId="0" fillId="0" borderId="2" xfId="0" applyBorder="1">
      <alignment vertical="center"/>
    </xf>
    <xf numFmtId="0" fontId="3" fillId="2" borderId="2" xfId="0" applyFont="1" applyFill="1" applyBorder="1">
      <alignment vertical="center"/>
    </xf>
    <xf numFmtId="176" fontId="0" fillId="0" borderId="0" xfId="0" applyNumberFormat="1">
      <alignment vertical="center"/>
    </xf>
    <xf numFmtId="0" fontId="3" fillId="2" borderId="2" xfId="0" applyFont="1" applyFill="1" applyBorder="1" applyAlignment="1">
      <alignment horizontal="center" vertical="center"/>
    </xf>
    <xf numFmtId="0" fontId="2" fillId="3" borderId="2"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Fill="1" applyBorder="1">
      <alignment vertical="center"/>
    </xf>
    <xf numFmtId="0" fontId="0" fillId="0" borderId="2" xfId="0" quotePrefix="1" applyBorder="1">
      <alignment vertical="center"/>
    </xf>
    <xf numFmtId="0" fontId="3" fillId="0" borderId="0" xfId="0" applyFont="1">
      <alignment vertical="center"/>
    </xf>
    <xf numFmtId="0" fontId="4" fillId="0" borderId="0" xfId="0" applyFont="1">
      <alignment vertical="center"/>
    </xf>
    <xf numFmtId="0" fontId="5" fillId="3" borderId="2" xfId="0" applyFont="1" applyFill="1" applyBorder="1" applyAlignment="1">
      <alignment horizontal="center" vertical="center"/>
    </xf>
    <xf numFmtId="0" fontId="0" fillId="2" borderId="0" xfId="0" applyFill="1">
      <alignment vertical="center"/>
    </xf>
    <xf numFmtId="0" fontId="7" fillId="2" borderId="0" xfId="0" applyFont="1" applyFill="1">
      <alignment vertical="center"/>
    </xf>
    <xf numFmtId="0" fontId="0" fillId="0" borderId="2" xfId="0" applyFill="1" applyBorder="1">
      <alignment vertical="center"/>
    </xf>
    <xf numFmtId="0" fontId="8" fillId="2" borderId="0" xfId="0" applyFont="1" applyFill="1">
      <alignment vertical="center"/>
    </xf>
    <xf numFmtId="0" fontId="9" fillId="0" borderId="0" xfId="0" applyFont="1" applyFill="1">
      <alignment vertical="center"/>
    </xf>
    <xf numFmtId="0" fontId="4" fillId="0" borderId="0" xfId="0" applyFont="1" applyFill="1">
      <alignment vertical="center"/>
    </xf>
    <xf numFmtId="0" fontId="5" fillId="0" borderId="0" xfId="0" applyFont="1" applyFill="1">
      <alignment vertical="center"/>
    </xf>
    <xf numFmtId="0" fontId="5" fillId="0" borderId="0" xfId="0" applyFont="1">
      <alignment vertical="center"/>
    </xf>
    <xf numFmtId="0" fontId="3" fillId="3" borderId="2" xfId="0"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280148</xdr:colOff>
      <xdr:row>1</xdr:row>
      <xdr:rowOff>78442</xdr:rowOff>
    </xdr:from>
    <xdr:to>
      <xdr:col>10</xdr:col>
      <xdr:colOff>414619</xdr:colOff>
      <xdr:row>4</xdr:row>
      <xdr:rowOff>1</xdr:rowOff>
    </xdr:to>
    <xdr:sp macro="[0]!シート整理" textlink="">
      <xdr:nvSpPr>
        <xdr:cNvPr id="2" name="正方形/長方形 1">
          <a:extLst>
            <a:ext uri="{FF2B5EF4-FFF2-40B4-BE49-F238E27FC236}">
              <a16:creationId xmlns:a16="http://schemas.microsoft.com/office/drawing/2014/main" id="{F248CECB-59C4-4041-976C-D0BFA4655013}"/>
            </a:ext>
          </a:extLst>
        </xdr:cNvPr>
        <xdr:cNvSpPr/>
      </xdr:nvSpPr>
      <xdr:spPr>
        <a:xfrm>
          <a:off x="17548413" y="313766"/>
          <a:ext cx="1636059" cy="627529"/>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nchorCtr="1"/>
        <a:lstStyle/>
        <a:p>
          <a:pPr algn="ctr"/>
          <a:r>
            <a:rPr kumimoji="1" lang="ja-JP" altLang="en-US" sz="1100" b="1"/>
            <a:t>シート振り分け開始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BCF45-DFF4-48AA-8D54-7EA8A4E1EED3}">
  <sheetPr codeName="Sheet1"/>
  <dimension ref="A1:M394"/>
  <sheetViews>
    <sheetView tabSelected="1" zoomScale="85" zoomScaleNormal="85" workbookViewId="0">
      <selection activeCell="G28" sqref="G28"/>
    </sheetView>
  </sheetViews>
  <sheetFormatPr defaultColWidth="9.875" defaultRowHeight="18.75" x14ac:dyDescent="0.4"/>
  <sheetData>
    <row r="1" spans="1:11" x14ac:dyDescent="0.4">
      <c r="A1" t="s">
        <v>0</v>
      </c>
      <c r="B1" t="s">
        <v>15</v>
      </c>
      <c r="C1" t="s">
        <v>1</v>
      </c>
      <c r="D1" t="s">
        <v>2</v>
      </c>
      <c r="E1" t="s">
        <v>3</v>
      </c>
      <c r="F1" t="s">
        <v>4</v>
      </c>
      <c r="G1" t="s">
        <v>127</v>
      </c>
      <c r="H1" t="s">
        <v>1455</v>
      </c>
    </row>
    <row r="2" spans="1:11" x14ac:dyDescent="0.4">
      <c r="A2" t="s">
        <v>128</v>
      </c>
      <c r="B2" t="s">
        <v>132</v>
      </c>
      <c r="C2" t="s">
        <v>23</v>
      </c>
      <c r="D2" t="s">
        <v>129</v>
      </c>
      <c r="E2" t="s">
        <v>130</v>
      </c>
      <c r="F2" t="s">
        <v>131</v>
      </c>
      <c r="G2" t="s">
        <v>132</v>
      </c>
      <c r="H2" t="s" cm="1">
        <v>1450</v>
      </c>
    </row>
    <row r="3" spans="1:11" x14ac:dyDescent="0.4">
      <c r="A3" t="s">
        <v>133</v>
      </c>
      <c r="B3" t="s">
        <v>1659</v>
      </c>
      <c r="C3" t="s">
        <v>17</v>
      </c>
      <c r="D3" t="s">
        <v>134</v>
      </c>
      <c r="E3" t="s">
        <v>135</v>
      </c>
      <c r="F3" t="s">
        <v>136</v>
      </c>
      <c r="G3" t="s">
        <v>137</v>
      </c>
      <c r="H3" t="s" cm="1">
        <v>1451</v>
      </c>
    </row>
    <row r="4" spans="1:11" x14ac:dyDescent="0.4">
      <c r="A4" t="s">
        <v>139</v>
      </c>
      <c r="B4" t="s">
        <v>1465</v>
      </c>
      <c r="C4" t="s">
        <v>140</v>
      </c>
      <c r="D4" t="s">
        <v>141</v>
      </c>
      <c r="E4" t="s">
        <v>142</v>
      </c>
      <c r="F4" t="s">
        <v>143</v>
      </c>
      <c r="G4" t="s">
        <v>144</v>
      </c>
      <c r="H4" t="s">
        <v>1455</v>
      </c>
    </row>
    <row r="5" spans="1:11" x14ac:dyDescent="0.4">
      <c r="A5" t="s">
        <v>145</v>
      </c>
      <c r="B5" t="s">
        <v>1575</v>
      </c>
      <c r="C5" t="s">
        <v>146</v>
      </c>
      <c r="D5" t="s">
        <v>147</v>
      </c>
      <c r="E5" t="s">
        <v>148</v>
      </c>
      <c r="F5" t="s">
        <v>149</v>
      </c>
      <c r="G5" t="s">
        <v>150</v>
      </c>
      <c r="H5" t="s" cm="1">
        <v>1452</v>
      </c>
    </row>
    <row r="6" spans="1:11" x14ac:dyDescent="0.4">
      <c r="A6" t="s">
        <v>151</v>
      </c>
      <c r="B6" t="s">
        <v>1807</v>
      </c>
      <c r="C6" t="s">
        <v>152</v>
      </c>
      <c r="D6" t="s">
        <v>153</v>
      </c>
      <c r="E6" t="s">
        <v>154</v>
      </c>
      <c r="F6" t="s">
        <v>155</v>
      </c>
      <c r="G6" t="s">
        <v>156</v>
      </c>
      <c r="H6" t="s">
        <v>1455</v>
      </c>
      <c r="I6" t="s">
        <v>158</v>
      </c>
    </row>
    <row r="7" spans="1:11" x14ac:dyDescent="0.4">
      <c r="A7" t="s">
        <v>159</v>
      </c>
      <c r="B7" t="s">
        <v>1466</v>
      </c>
      <c r="C7" t="s">
        <v>160</v>
      </c>
      <c r="D7" t="s">
        <v>161</v>
      </c>
      <c r="E7" t="s">
        <v>162</v>
      </c>
      <c r="F7" t="s">
        <v>163</v>
      </c>
      <c r="G7" t="s">
        <v>164</v>
      </c>
      <c r="H7" t="s">
        <v>1455</v>
      </c>
    </row>
    <row r="8" spans="1:11" x14ac:dyDescent="0.4">
      <c r="A8" t="s">
        <v>166</v>
      </c>
      <c r="B8" t="s">
        <v>1675</v>
      </c>
      <c r="C8" t="s">
        <v>167</v>
      </c>
      <c r="D8" t="s">
        <v>168</v>
      </c>
      <c r="E8" t="s">
        <v>169</v>
      </c>
      <c r="F8" t="s">
        <v>170</v>
      </c>
      <c r="G8" t="s">
        <v>171</v>
      </c>
      <c r="H8" t="s" cm="1">
        <v>1450</v>
      </c>
    </row>
    <row r="9" spans="1:11" x14ac:dyDescent="0.4">
      <c r="A9" t="s">
        <v>173</v>
      </c>
      <c r="B9" t="s">
        <v>1587</v>
      </c>
      <c r="C9" t="s">
        <v>174</v>
      </c>
      <c r="D9" t="s">
        <v>175</v>
      </c>
      <c r="E9" t="s">
        <v>176</v>
      </c>
      <c r="F9" t="s">
        <v>177</v>
      </c>
      <c r="G9" t="s">
        <v>178</v>
      </c>
      <c r="H9" t="s" cm="1">
        <v>1453</v>
      </c>
    </row>
    <row r="10" spans="1:11" x14ac:dyDescent="0.4">
      <c r="A10" t="s">
        <v>180</v>
      </c>
      <c r="B10" t="s">
        <v>1804</v>
      </c>
      <c r="C10" t="s">
        <v>181</v>
      </c>
      <c r="D10" t="s">
        <v>182</v>
      </c>
      <c r="E10" t="s">
        <v>183</v>
      </c>
      <c r="F10" t="s">
        <v>184</v>
      </c>
      <c r="G10" t="s">
        <v>185</v>
      </c>
      <c r="H10" t="s">
        <v>1455</v>
      </c>
      <c r="I10" t="s">
        <v>186</v>
      </c>
      <c r="J10" t="s">
        <v>187</v>
      </c>
      <c r="K10" t="s">
        <v>188</v>
      </c>
    </row>
    <row r="11" spans="1:11" x14ac:dyDescent="0.4">
      <c r="A11" t="s">
        <v>189</v>
      </c>
      <c r="B11" t="s">
        <v>1467</v>
      </c>
      <c r="C11" t="s">
        <v>190</v>
      </c>
      <c r="D11" t="s">
        <v>191</v>
      </c>
      <c r="E11" t="s">
        <v>192</v>
      </c>
      <c r="F11" t="s">
        <v>193</v>
      </c>
      <c r="G11" t="s">
        <v>194</v>
      </c>
      <c r="H11" t="s" cm="1">
        <v>1450</v>
      </c>
    </row>
    <row r="12" spans="1:11" x14ac:dyDescent="0.4">
      <c r="A12" t="s">
        <v>195</v>
      </c>
      <c r="B12" t="s">
        <v>1588</v>
      </c>
      <c r="C12" t="s">
        <v>17</v>
      </c>
      <c r="D12" t="s">
        <v>134</v>
      </c>
      <c r="E12" t="s">
        <v>135</v>
      </c>
      <c r="F12" t="s">
        <v>136</v>
      </c>
      <c r="G12" t="s">
        <v>196</v>
      </c>
      <c r="H12" t="s" cm="1">
        <v>1451</v>
      </c>
      <c r="I12" t="s">
        <v>138</v>
      </c>
      <c r="J12" t="s">
        <v>197</v>
      </c>
    </row>
    <row r="13" spans="1:11" x14ac:dyDescent="0.4">
      <c r="A13" t="s">
        <v>198</v>
      </c>
      <c r="B13" t="s">
        <v>1589</v>
      </c>
      <c r="C13" t="s">
        <v>17</v>
      </c>
      <c r="D13" t="s">
        <v>134</v>
      </c>
      <c r="E13" t="s">
        <v>135</v>
      </c>
      <c r="F13" t="s">
        <v>136</v>
      </c>
      <c r="G13" t="s">
        <v>199</v>
      </c>
      <c r="H13" t="s" cm="1">
        <v>1451</v>
      </c>
    </row>
    <row r="14" spans="1:11" x14ac:dyDescent="0.4">
      <c r="A14" t="s">
        <v>202</v>
      </c>
      <c r="B14" t="s">
        <v>1468</v>
      </c>
      <c r="C14" t="s">
        <v>203</v>
      </c>
      <c r="D14" t="s">
        <v>204</v>
      </c>
      <c r="E14" t="s">
        <v>205</v>
      </c>
      <c r="F14" t="s">
        <v>206</v>
      </c>
      <c r="G14" t="s">
        <v>207</v>
      </c>
      <c r="H14" t="s">
        <v>1455</v>
      </c>
    </row>
    <row r="15" spans="1:11" x14ac:dyDescent="0.4">
      <c r="A15" t="s">
        <v>209</v>
      </c>
      <c r="B15" t="s">
        <v>1590</v>
      </c>
      <c r="C15" t="s">
        <v>174</v>
      </c>
      <c r="D15" t="s">
        <v>175</v>
      </c>
      <c r="E15" t="s">
        <v>176</v>
      </c>
      <c r="F15" t="s">
        <v>177</v>
      </c>
      <c r="G15" t="s">
        <v>210</v>
      </c>
      <c r="H15" t="s" cm="1">
        <v>1453</v>
      </c>
    </row>
    <row r="16" spans="1:11" x14ac:dyDescent="0.4">
      <c r="A16" t="s">
        <v>211</v>
      </c>
      <c r="B16" t="s">
        <v>1590</v>
      </c>
      <c r="C16" t="s">
        <v>174</v>
      </c>
      <c r="D16" t="s">
        <v>175</v>
      </c>
      <c r="E16" t="s">
        <v>176</v>
      </c>
      <c r="F16" t="s">
        <v>177</v>
      </c>
      <c r="G16" t="s">
        <v>210</v>
      </c>
      <c r="H16" t="s" cm="1">
        <v>1453</v>
      </c>
    </row>
    <row r="17" spans="1:11" x14ac:dyDescent="0.4">
      <c r="A17" t="s">
        <v>212</v>
      </c>
      <c r="B17" t="s">
        <v>1591</v>
      </c>
      <c r="C17" t="s">
        <v>174</v>
      </c>
      <c r="D17" t="s">
        <v>175</v>
      </c>
      <c r="E17" t="s">
        <v>176</v>
      </c>
      <c r="F17" t="s">
        <v>177</v>
      </c>
      <c r="G17" t="s">
        <v>213</v>
      </c>
      <c r="H17" t="s" cm="1">
        <v>1453</v>
      </c>
      <c r="I17" t="s">
        <v>214</v>
      </c>
      <c r="J17" t="s">
        <v>201</v>
      </c>
    </row>
    <row r="18" spans="1:11" x14ac:dyDescent="0.4">
      <c r="A18" t="s">
        <v>215</v>
      </c>
      <c r="B18" t="s">
        <v>1469</v>
      </c>
      <c r="C18" t="s">
        <v>216</v>
      </c>
      <c r="D18" t="s">
        <v>217</v>
      </c>
      <c r="E18" t="s">
        <v>218</v>
      </c>
      <c r="F18" t="s">
        <v>219</v>
      </c>
      <c r="G18" t="s">
        <v>220</v>
      </c>
      <c r="H18" t="s">
        <v>1455</v>
      </c>
    </row>
    <row r="19" spans="1:11" x14ac:dyDescent="0.4">
      <c r="A19" t="s">
        <v>221</v>
      </c>
      <c r="B19" t="s">
        <v>1470</v>
      </c>
      <c r="C19" t="s">
        <v>222</v>
      </c>
      <c r="D19" t="s">
        <v>223</v>
      </c>
      <c r="E19" t="s">
        <v>224</v>
      </c>
      <c r="F19" t="s">
        <v>225</v>
      </c>
      <c r="G19" t="s">
        <v>226</v>
      </c>
      <c r="H19" t="s">
        <v>1455</v>
      </c>
      <c r="I19" t="s">
        <v>227</v>
      </c>
    </row>
    <row r="20" spans="1:11" x14ac:dyDescent="0.4">
      <c r="A20" t="s">
        <v>228</v>
      </c>
      <c r="B20" t="s">
        <v>1471</v>
      </c>
      <c r="C20" t="s">
        <v>94</v>
      </c>
      <c r="D20" t="s">
        <v>229</v>
      </c>
      <c r="E20" t="s">
        <v>230</v>
      </c>
      <c r="F20" t="s">
        <v>231</v>
      </c>
      <c r="G20" t="s">
        <v>232</v>
      </c>
      <c r="H20" t="s" cm="1">
        <v>1450</v>
      </c>
    </row>
    <row r="21" spans="1:11" x14ac:dyDescent="0.4">
      <c r="A21" t="s">
        <v>233</v>
      </c>
      <c r="B21" t="s">
        <v>1472</v>
      </c>
      <c r="C21" t="s">
        <v>234</v>
      </c>
      <c r="D21" t="s">
        <v>235</v>
      </c>
      <c r="E21" t="s">
        <v>236</v>
      </c>
      <c r="F21" t="s">
        <v>237</v>
      </c>
      <c r="G21" t="s">
        <v>238</v>
      </c>
      <c r="H21" t="s">
        <v>1455</v>
      </c>
    </row>
    <row r="22" spans="1:11" x14ac:dyDescent="0.4">
      <c r="A22" t="s">
        <v>240</v>
      </c>
      <c r="B22" t="s">
        <v>1676</v>
      </c>
      <c r="C22" t="s">
        <v>241</v>
      </c>
      <c r="D22" t="s">
        <v>242</v>
      </c>
      <c r="E22" t="s">
        <v>243</v>
      </c>
      <c r="F22" t="s">
        <v>244</v>
      </c>
      <c r="G22" t="s">
        <v>245</v>
      </c>
      <c r="H22" t="s">
        <v>1455</v>
      </c>
    </row>
    <row r="23" spans="1:11" x14ac:dyDescent="0.4">
      <c r="A23" t="s">
        <v>246</v>
      </c>
      <c r="B23" t="s">
        <v>1672</v>
      </c>
      <c r="C23" t="s">
        <v>17</v>
      </c>
      <c r="D23" t="s">
        <v>134</v>
      </c>
      <c r="E23" t="s">
        <v>135</v>
      </c>
      <c r="F23" t="s">
        <v>136</v>
      </c>
      <c r="G23" t="s">
        <v>247</v>
      </c>
      <c r="H23" t="s" cm="1">
        <v>1451</v>
      </c>
      <c r="I23" t="s">
        <v>248</v>
      </c>
    </row>
    <row r="24" spans="1:11" x14ac:dyDescent="0.4">
      <c r="A24" t="s">
        <v>249</v>
      </c>
      <c r="B24" t="s">
        <v>1677</v>
      </c>
      <c r="C24" t="s">
        <v>17</v>
      </c>
      <c r="D24" t="s">
        <v>134</v>
      </c>
      <c r="E24" t="s">
        <v>135</v>
      </c>
      <c r="F24" t="s">
        <v>136</v>
      </c>
      <c r="G24" t="s">
        <v>250</v>
      </c>
      <c r="H24" t="s" cm="1">
        <v>1451</v>
      </c>
    </row>
    <row r="25" spans="1:11" x14ac:dyDescent="0.4">
      <c r="A25" t="s">
        <v>251</v>
      </c>
      <c r="B25" t="s">
        <v>1673</v>
      </c>
      <c r="C25" t="s">
        <v>252</v>
      </c>
      <c r="D25" t="s">
        <v>253</v>
      </c>
      <c r="E25" t="s">
        <v>254</v>
      </c>
      <c r="F25" t="s">
        <v>255</v>
      </c>
      <c r="G25" t="s">
        <v>256</v>
      </c>
      <c r="H25" t="s" cm="1">
        <v>1452</v>
      </c>
    </row>
    <row r="26" spans="1:11" x14ac:dyDescent="0.4">
      <c r="A26" t="s">
        <v>257</v>
      </c>
      <c r="B26" t="s">
        <v>1674</v>
      </c>
      <c r="C26" t="s">
        <v>258</v>
      </c>
      <c r="D26" t="s">
        <v>259</v>
      </c>
      <c r="E26" t="s">
        <v>260</v>
      </c>
      <c r="F26" t="s">
        <v>261</v>
      </c>
      <c r="G26" t="s">
        <v>262</v>
      </c>
      <c r="H26" t="s" cm="1">
        <v>1454</v>
      </c>
      <c r="J26" t="s">
        <v>263</v>
      </c>
      <c r="K26" t="s">
        <v>172</v>
      </c>
    </row>
    <row r="27" spans="1:11" x14ac:dyDescent="0.4">
      <c r="A27" t="s">
        <v>264</v>
      </c>
      <c r="B27" t="s">
        <v>1738</v>
      </c>
      <c r="C27" t="s">
        <v>265</v>
      </c>
      <c r="D27" t="s">
        <v>266</v>
      </c>
      <c r="E27" t="s">
        <v>267</v>
      </c>
      <c r="F27" t="s">
        <v>268</v>
      </c>
      <c r="G27" t="s">
        <v>269</v>
      </c>
      <c r="H27" t="s">
        <v>1455</v>
      </c>
      <c r="J27" t="s">
        <v>270</v>
      </c>
      <c r="K27" t="s">
        <v>271</v>
      </c>
    </row>
    <row r="28" spans="1:11" x14ac:dyDescent="0.4">
      <c r="A28" t="s">
        <v>272</v>
      </c>
      <c r="B28" t="s">
        <v>1739</v>
      </c>
      <c r="C28" t="s">
        <v>174</v>
      </c>
      <c r="D28" t="s">
        <v>175</v>
      </c>
      <c r="E28" t="s">
        <v>176</v>
      </c>
      <c r="F28" t="s">
        <v>177</v>
      </c>
      <c r="G28" t="s">
        <v>273</v>
      </c>
      <c r="H28" t="s" cm="1">
        <v>1453</v>
      </c>
      <c r="I28" t="s">
        <v>197</v>
      </c>
    </row>
    <row r="29" spans="1:11" x14ac:dyDescent="0.4">
      <c r="A29" t="s">
        <v>274</v>
      </c>
      <c r="B29" t="s">
        <v>1740</v>
      </c>
      <c r="C29" t="s">
        <v>146</v>
      </c>
      <c r="D29" t="s">
        <v>147</v>
      </c>
      <c r="E29" t="s">
        <v>148</v>
      </c>
      <c r="F29" t="s">
        <v>149</v>
      </c>
      <c r="G29" t="s">
        <v>275</v>
      </c>
      <c r="H29" t="s" cm="1">
        <v>1452</v>
      </c>
    </row>
    <row r="30" spans="1:11" x14ac:dyDescent="0.4">
      <c r="A30" t="s">
        <v>276</v>
      </c>
      <c r="B30" t="s">
        <v>1741</v>
      </c>
      <c r="C30" t="s">
        <v>277</v>
      </c>
      <c r="D30" t="s">
        <v>278</v>
      </c>
      <c r="E30" t="s">
        <v>279</v>
      </c>
      <c r="F30" t="s">
        <v>280</v>
      </c>
      <c r="G30" t="s">
        <v>281</v>
      </c>
      <c r="H30" t="s">
        <v>1455</v>
      </c>
    </row>
    <row r="31" spans="1:11" x14ac:dyDescent="0.4">
      <c r="A31" t="s">
        <v>282</v>
      </c>
      <c r="B31" t="s">
        <v>1778</v>
      </c>
      <c r="C31" t="s">
        <v>283</v>
      </c>
      <c r="D31" t="s">
        <v>284</v>
      </c>
      <c r="E31" t="s">
        <v>285</v>
      </c>
      <c r="F31" t="s">
        <v>286</v>
      </c>
      <c r="G31" t="s">
        <v>287</v>
      </c>
      <c r="H31" t="s" cm="1">
        <v>1452</v>
      </c>
    </row>
    <row r="32" spans="1:11" x14ac:dyDescent="0.4">
      <c r="A32" t="s">
        <v>288</v>
      </c>
      <c r="B32" t="s">
        <v>1789</v>
      </c>
      <c r="C32" t="s">
        <v>22</v>
      </c>
      <c r="D32" t="s">
        <v>289</v>
      </c>
      <c r="E32" t="s">
        <v>290</v>
      </c>
      <c r="F32" t="s">
        <v>291</v>
      </c>
      <c r="G32" t="s">
        <v>292</v>
      </c>
      <c r="H32" t="s" cm="1">
        <v>101</v>
      </c>
      <c r="I32" t="s">
        <v>270</v>
      </c>
      <c r="J32" t="s">
        <v>271</v>
      </c>
    </row>
    <row r="33" spans="1:10" x14ac:dyDescent="0.4">
      <c r="A33" t="s">
        <v>293</v>
      </c>
      <c r="B33" t="s">
        <v>1790</v>
      </c>
      <c r="C33" t="s">
        <v>23</v>
      </c>
      <c r="D33" t="s">
        <v>129</v>
      </c>
      <c r="E33" t="s">
        <v>130</v>
      </c>
      <c r="F33" t="s">
        <v>131</v>
      </c>
      <c r="G33" t="s">
        <v>294</v>
      </c>
      <c r="H33" t="s" cm="1">
        <v>1450</v>
      </c>
    </row>
    <row r="34" spans="1:10" x14ac:dyDescent="0.4">
      <c r="A34" t="s">
        <v>296</v>
      </c>
      <c r="B34" t="s">
        <v>1742</v>
      </c>
      <c r="C34" t="s">
        <v>167</v>
      </c>
      <c r="D34" t="s">
        <v>168</v>
      </c>
      <c r="E34" t="s">
        <v>169</v>
      </c>
      <c r="F34" t="s">
        <v>170</v>
      </c>
      <c r="G34" t="s">
        <v>297</v>
      </c>
      <c r="H34" t="s" cm="1">
        <v>1450</v>
      </c>
    </row>
    <row r="35" spans="1:10" x14ac:dyDescent="0.4">
      <c r="A35" t="s">
        <v>298</v>
      </c>
      <c r="B35" t="s">
        <v>1666</v>
      </c>
      <c r="C35" t="s">
        <v>98</v>
      </c>
      <c r="D35" t="s">
        <v>299</v>
      </c>
      <c r="E35" t="s">
        <v>300</v>
      </c>
      <c r="F35" t="s">
        <v>301</v>
      </c>
      <c r="G35" t="s">
        <v>302</v>
      </c>
      <c r="H35" t="s" cm="1">
        <v>101</v>
      </c>
    </row>
    <row r="36" spans="1:10" x14ac:dyDescent="0.4">
      <c r="A36" t="s">
        <v>303</v>
      </c>
      <c r="B36" t="s">
        <v>1473</v>
      </c>
      <c r="C36" t="s">
        <v>304</v>
      </c>
      <c r="D36" t="s">
        <v>305</v>
      </c>
      <c r="E36" t="s">
        <v>306</v>
      </c>
      <c r="F36" t="s">
        <v>307</v>
      </c>
      <c r="G36" t="s">
        <v>308</v>
      </c>
      <c r="H36" t="s">
        <v>1455</v>
      </c>
    </row>
    <row r="37" spans="1:10" x14ac:dyDescent="0.4">
      <c r="A37" t="s">
        <v>310</v>
      </c>
      <c r="B37" t="s">
        <v>1592</v>
      </c>
      <c r="C37" t="s">
        <v>174</v>
      </c>
      <c r="D37" t="s">
        <v>175</v>
      </c>
      <c r="E37" t="s">
        <v>176</v>
      </c>
      <c r="F37" t="s">
        <v>177</v>
      </c>
      <c r="G37" t="s">
        <v>311</v>
      </c>
      <c r="H37" t="s" cm="1">
        <v>1453</v>
      </c>
    </row>
    <row r="38" spans="1:10" x14ac:dyDescent="0.4">
      <c r="A38" t="s">
        <v>313</v>
      </c>
      <c r="B38" t="s">
        <v>1474</v>
      </c>
      <c r="C38" t="s">
        <v>314</v>
      </c>
      <c r="D38" t="s">
        <v>315</v>
      </c>
      <c r="E38" t="s">
        <v>316</v>
      </c>
      <c r="F38" t="s">
        <v>317</v>
      </c>
      <c r="G38" t="s">
        <v>318</v>
      </c>
      <c r="H38" t="s" cm="1">
        <v>1454</v>
      </c>
    </row>
    <row r="39" spans="1:10" x14ac:dyDescent="0.4">
      <c r="A39" t="s">
        <v>319</v>
      </c>
      <c r="B39" t="s">
        <v>1593</v>
      </c>
      <c r="C39" t="s">
        <v>17</v>
      </c>
      <c r="D39" t="s">
        <v>134</v>
      </c>
      <c r="E39" t="s">
        <v>135</v>
      </c>
      <c r="F39" t="s">
        <v>136</v>
      </c>
      <c r="G39" t="s">
        <v>320</v>
      </c>
      <c r="H39" t="s" cm="1">
        <v>1451</v>
      </c>
      <c r="I39" t="s">
        <v>138</v>
      </c>
      <c r="J39" t="s">
        <v>208</v>
      </c>
    </row>
    <row r="40" spans="1:10" x14ac:dyDescent="0.4">
      <c r="A40" t="s">
        <v>321</v>
      </c>
      <c r="B40" t="s">
        <v>1594</v>
      </c>
      <c r="C40" t="s">
        <v>17</v>
      </c>
      <c r="D40" t="s">
        <v>134</v>
      </c>
      <c r="E40" t="s">
        <v>135</v>
      </c>
      <c r="F40" t="s">
        <v>136</v>
      </c>
      <c r="G40" t="s">
        <v>322</v>
      </c>
      <c r="H40" t="s" cm="1">
        <v>1451</v>
      </c>
    </row>
    <row r="41" spans="1:10" x14ac:dyDescent="0.4">
      <c r="A41" t="s">
        <v>323</v>
      </c>
      <c r="B41" t="s">
        <v>1595</v>
      </c>
      <c r="C41" t="s">
        <v>174</v>
      </c>
      <c r="D41" t="s">
        <v>175</v>
      </c>
      <c r="E41" t="s">
        <v>176</v>
      </c>
      <c r="F41" t="s">
        <v>177</v>
      </c>
      <c r="G41" t="s">
        <v>324</v>
      </c>
      <c r="H41" t="s" cm="1">
        <v>1453</v>
      </c>
    </row>
    <row r="42" spans="1:10" x14ac:dyDescent="0.4">
      <c r="A42" t="s">
        <v>325</v>
      </c>
      <c r="B42" t="s">
        <v>1475</v>
      </c>
      <c r="C42" t="s">
        <v>304</v>
      </c>
      <c r="D42" t="s">
        <v>305</v>
      </c>
      <c r="E42" t="s">
        <v>306</v>
      </c>
      <c r="F42" t="s">
        <v>307</v>
      </c>
      <c r="G42" t="s">
        <v>326</v>
      </c>
      <c r="H42" t="s">
        <v>1455</v>
      </c>
    </row>
    <row r="43" spans="1:10" x14ac:dyDescent="0.4">
      <c r="A43" t="s">
        <v>327</v>
      </c>
      <c r="B43" t="s">
        <v>1476</v>
      </c>
      <c r="C43" t="s">
        <v>328</v>
      </c>
      <c r="D43" t="s">
        <v>329</v>
      </c>
      <c r="E43" t="s">
        <v>330</v>
      </c>
      <c r="F43" t="s">
        <v>331</v>
      </c>
      <c r="G43" t="s">
        <v>332</v>
      </c>
      <c r="H43" t="s">
        <v>1455</v>
      </c>
      <c r="I43" t="s">
        <v>333</v>
      </c>
      <c r="J43" t="s">
        <v>334</v>
      </c>
    </row>
    <row r="44" spans="1:10" x14ac:dyDescent="0.4">
      <c r="A44" t="s">
        <v>335</v>
      </c>
      <c r="B44" t="s">
        <v>1477</v>
      </c>
      <c r="C44" t="s">
        <v>336</v>
      </c>
      <c r="D44" t="s">
        <v>337</v>
      </c>
      <c r="E44" t="s">
        <v>338</v>
      </c>
      <c r="F44" t="s">
        <v>317</v>
      </c>
      <c r="G44" t="s">
        <v>339</v>
      </c>
      <c r="H44" t="s" cm="1">
        <v>1454</v>
      </c>
    </row>
    <row r="45" spans="1:10" x14ac:dyDescent="0.4">
      <c r="A45" t="s">
        <v>340</v>
      </c>
      <c r="B45" t="s">
        <v>1596</v>
      </c>
      <c r="C45" t="s">
        <v>17</v>
      </c>
      <c r="D45" t="s">
        <v>134</v>
      </c>
      <c r="E45" t="s">
        <v>135</v>
      </c>
      <c r="F45" t="s">
        <v>136</v>
      </c>
      <c r="G45" t="s">
        <v>341</v>
      </c>
      <c r="H45" t="s" cm="1">
        <v>1451</v>
      </c>
      <c r="I45" t="s">
        <v>342</v>
      </c>
    </row>
    <row r="46" spans="1:10" x14ac:dyDescent="0.4">
      <c r="A46" t="s">
        <v>343</v>
      </c>
      <c r="B46" t="s">
        <v>1576</v>
      </c>
      <c r="C46" t="s">
        <v>344</v>
      </c>
      <c r="D46" t="s">
        <v>345</v>
      </c>
      <c r="E46" t="s">
        <v>346</v>
      </c>
      <c r="F46" t="s">
        <v>347</v>
      </c>
      <c r="G46" t="s">
        <v>348</v>
      </c>
      <c r="H46" t="s" cm="1">
        <v>1452</v>
      </c>
    </row>
    <row r="47" spans="1:10" x14ac:dyDescent="0.4">
      <c r="A47" t="s">
        <v>349</v>
      </c>
      <c r="B47" t="s">
        <v>1577</v>
      </c>
      <c r="C47" t="s">
        <v>350</v>
      </c>
      <c r="D47" t="s">
        <v>351</v>
      </c>
      <c r="E47" t="s">
        <v>352</v>
      </c>
      <c r="F47" t="s">
        <v>353</v>
      </c>
      <c r="G47" t="s">
        <v>354</v>
      </c>
      <c r="H47" t="s" cm="1">
        <v>1452</v>
      </c>
    </row>
    <row r="48" spans="1:10" x14ac:dyDescent="0.4">
      <c r="A48" t="s">
        <v>355</v>
      </c>
      <c r="B48" t="s">
        <v>1597</v>
      </c>
      <c r="C48" t="s">
        <v>17</v>
      </c>
      <c r="D48" t="s">
        <v>134</v>
      </c>
      <c r="E48" t="s">
        <v>135</v>
      </c>
      <c r="F48" t="s">
        <v>136</v>
      </c>
      <c r="G48" t="s">
        <v>356</v>
      </c>
      <c r="H48" t="s" cm="1">
        <v>1451</v>
      </c>
    </row>
    <row r="49" spans="1:10" x14ac:dyDescent="0.4">
      <c r="A49" t="s">
        <v>358</v>
      </c>
      <c r="B49" t="s">
        <v>1478</v>
      </c>
      <c r="C49" t="s">
        <v>94</v>
      </c>
      <c r="D49" t="s">
        <v>229</v>
      </c>
      <c r="E49" t="s">
        <v>230</v>
      </c>
      <c r="F49" t="s">
        <v>231</v>
      </c>
      <c r="G49" t="s">
        <v>359</v>
      </c>
      <c r="H49" t="s" cm="1">
        <v>1450</v>
      </c>
      <c r="I49" t="s">
        <v>360</v>
      </c>
    </row>
    <row r="50" spans="1:10" x14ac:dyDescent="0.4">
      <c r="A50" t="s">
        <v>361</v>
      </c>
      <c r="B50" t="s">
        <v>1598</v>
      </c>
      <c r="C50" t="s">
        <v>17</v>
      </c>
      <c r="D50" t="s">
        <v>134</v>
      </c>
      <c r="E50" t="s">
        <v>135</v>
      </c>
      <c r="F50" t="s">
        <v>136</v>
      </c>
      <c r="G50" t="s">
        <v>362</v>
      </c>
      <c r="H50" t="s" cm="1">
        <v>1451</v>
      </c>
    </row>
    <row r="51" spans="1:10" x14ac:dyDescent="0.4">
      <c r="A51" t="s">
        <v>364</v>
      </c>
      <c r="B51" t="s">
        <v>1479</v>
      </c>
      <c r="C51" t="s">
        <v>365</v>
      </c>
      <c r="D51" t="s">
        <v>366</v>
      </c>
      <c r="E51" t="s">
        <v>367</v>
      </c>
      <c r="F51" t="s">
        <v>368</v>
      </c>
      <c r="G51" t="s">
        <v>369</v>
      </c>
      <c r="H51" t="s" cm="1">
        <v>1450</v>
      </c>
    </row>
    <row r="52" spans="1:10" x14ac:dyDescent="0.4">
      <c r="A52" t="s">
        <v>370</v>
      </c>
      <c r="B52" t="s">
        <v>1599</v>
      </c>
      <c r="C52" t="s">
        <v>174</v>
      </c>
      <c r="D52" t="s">
        <v>175</v>
      </c>
      <c r="E52" t="s">
        <v>176</v>
      </c>
      <c r="F52" t="s">
        <v>177</v>
      </c>
      <c r="G52" t="s">
        <v>371</v>
      </c>
      <c r="H52" t="s" cm="1">
        <v>1453</v>
      </c>
    </row>
    <row r="53" spans="1:10" x14ac:dyDescent="0.4">
      <c r="A53" t="s">
        <v>372</v>
      </c>
      <c r="B53" t="s">
        <v>1480</v>
      </c>
      <c r="C53" t="s">
        <v>373</v>
      </c>
      <c r="D53" t="s">
        <v>374</v>
      </c>
      <c r="E53" t="s">
        <v>375</v>
      </c>
      <c r="F53" t="s">
        <v>206</v>
      </c>
      <c r="G53" t="s">
        <v>376</v>
      </c>
      <c r="H53" t="s">
        <v>1455</v>
      </c>
    </row>
    <row r="54" spans="1:10" x14ac:dyDescent="0.4">
      <c r="A54" t="s">
        <v>378</v>
      </c>
      <c r="B54" t="s">
        <v>1456</v>
      </c>
      <c r="C54" t="s">
        <v>190</v>
      </c>
      <c r="D54" t="s">
        <v>191</v>
      </c>
      <c r="E54" t="s">
        <v>192</v>
      </c>
      <c r="F54" t="s">
        <v>193</v>
      </c>
      <c r="G54" t="s">
        <v>379</v>
      </c>
      <c r="H54" t="s" cm="1">
        <v>1450</v>
      </c>
    </row>
    <row r="55" spans="1:10" x14ac:dyDescent="0.4">
      <c r="A55" t="s">
        <v>381</v>
      </c>
      <c r="B55" t="s">
        <v>1600</v>
      </c>
      <c r="C55" t="s">
        <v>17</v>
      </c>
      <c r="D55" t="s">
        <v>134</v>
      </c>
      <c r="E55" t="s">
        <v>135</v>
      </c>
      <c r="F55" t="s">
        <v>136</v>
      </c>
      <c r="G55" t="s">
        <v>382</v>
      </c>
      <c r="H55" t="s" cm="1">
        <v>1451</v>
      </c>
      <c r="I55" t="s">
        <v>363</v>
      </c>
    </row>
    <row r="56" spans="1:10" x14ac:dyDescent="0.4">
      <c r="A56" t="s">
        <v>383</v>
      </c>
      <c r="B56" t="s">
        <v>1457</v>
      </c>
      <c r="C56" t="s">
        <v>384</v>
      </c>
      <c r="D56" t="s">
        <v>385</v>
      </c>
      <c r="E56" t="s">
        <v>386</v>
      </c>
      <c r="F56" t="s">
        <v>387</v>
      </c>
      <c r="G56" t="s">
        <v>388</v>
      </c>
      <c r="H56" t="s">
        <v>1455</v>
      </c>
    </row>
    <row r="57" spans="1:10" x14ac:dyDescent="0.4">
      <c r="A57" t="s">
        <v>390</v>
      </c>
      <c r="B57" t="s">
        <v>1481</v>
      </c>
      <c r="C57" t="s">
        <v>94</v>
      </c>
      <c r="D57" t="s">
        <v>229</v>
      </c>
      <c r="E57" t="s">
        <v>230</v>
      </c>
      <c r="F57" t="s">
        <v>231</v>
      </c>
      <c r="G57" t="s">
        <v>391</v>
      </c>
      <c r="H57" t="s" cm="1">
        <v>1450</v>
      </c>
    </row>
    <row r="58" spans="1:10" x14ac:dyDescent="0.4">
      <c r="A58" t="s">
        <v>392</v>
      </c>
      <c r="B58" t="s">
        <v>1482</v>
      </c>
      <c r="C58" t="s">
        <v>393</v>
      </c>
      <c r="D58" t="s">
        <v>394</v>
      </c>
      <c r="E58" t="s">
        <v>395</v>
      </c>
      <c r="F58" t="s">
        <v>396</v>
      </c>
      <c r="G58" t="s">
        <v>397</v>
      </c>
      <c r="H58" t="s">
        <v>1455</v>
      </c>
      <c r="I58" t="s">
        <v>398</v>
      </c>
    </row>
    <row r="59" spans="1:10" x14ac:dyDescent="0.4">
      <c r="A59" t="s">
        <v>399</v>
      </c>
      <c r="B59" t="s">
        <v>1601</v>
      </c>
      <c r="C59" t="s">
        <v>17</v>
      </c>
      <c r="D59" t="s">
        <v>134</v>
      </c>
      <c r="E59" t="s">
        <v>135</v>
      </c>
      <c r="F59" t="s">
        <v>136</v>
      </c>
      <c r="G59" t="s">
        <v>400</v>
      </c>
      <c r="H59" t="s" cm="1">
        <v>1451</v>
      </c>
    </row>
    <row r="60" spans="1:10" x14ac:dyDescent="0.4">
      <c r="A60" t="s">
        <v>401</v>
      </c>
      <c r="B60" t="s">
        <v>1602</v>
      </c>
      <c r="C60" t="s">
        <v>174</v>
      </c>
      <c r="D60" t="s">
        <v>175</v>
      </c>
      <c r="E60" t="s">
        <v>176</v>
      </c>
      <c r="F60" t="s">
        <v>177</v>
      </c>
      <c r="G60" t="s">
        <v>402</v>
      </c>
      <c r="H60" t="s" cm="1">
        <v>1453</v>
      </c>
      <c r="I60" t="s">
        <v>179</v>
      </c>
      <c r="J60" t="s">
        <v>239</v>
      </c>
    </row>
    <row r="61" spans="1:10" x14ac:dyDescent="0.4">
      <c r="A61" t="s">
        <v>403</v>
      </c>
      <c r="B61" t="s">
        <v>1483</v>
      </c>
      <c r="C61" t="s">
        <v>94</v>
      </c>
      <c r="D61" t="s">
        <v>229</v>
      </c>
      <c r="E61" t="s">
        <v>230</v>
      </c>
      <c r="F61" t="s">
        <v>231</v>
      </c>
      <c r="G61" t="s">
        <v>404</v>
      </c>
      <c r="H61" t="s" cm="1">
        <v>1450</v>
      </c>
    </row>
    <row r="62" spans="1:10" x14ac:dyDescent="0.4">
      <c r="A62" t="s">
        <v>405</v>
      </c>
      <c r="B62" t="s">
        <v>1660</v>
      </c>
      <c r="C62" t="s">
        <v>17</v>
      </c>
      <c r="D62" t="s">
        <v>134</v>
      </c>
      <c r="E62" t="s">
        <v>135</v>
      </c>
      <c r="F62" t="s">
        <v>136</v>
      </c>
      <c r="G62" t="s">
        <v>406</v>
      </c>
      <c r="H62" t="s" cm="1">
        <v>1451</v>
      </c>
    </row>
    <row r="63" spans="1:10" x14ac:dyDescent="0.4">
      <c r="A63" t="s">
        <v>407</v>
      </c>
      <c r="B63" t="s">
        <v>408</v>
      </c>
      <c r="C63" t="s">
        <v>174</v>
      </c>
      <c r="D63" t="s">
        <v>175</v>
      </c>
      <c r="E63" t="s">
        <v>176</v>
      </c>
      <c r="F63" t="s">
        <v>177</v>
      </c>
      <c r="G63" t="s">
        <v>408</v>
      </c>
      <c r="H63" t="s" cm="1">
        <v>1453</v>
      </c>
    </row>
    <row r="64" spans="1:10" x14ac:dyDescent="0.4">
      <c r="A64" t="s">
        <v>409</v>
      </c>
      <c r="B64" t="s">
        <v>410</v>
      </c>
      <c r="C64" t="s">
        <v>365</v>
      </c>
      <c r="D64" t="s">
        <v>366</v>
      </c>
      <c r="E64" t="s">
        <v>367</v>
      </c>
      <c r="F64" t="s">
        <v>368</v>
      </c>
      <c r="G64" t="s">
        <v>410</v>
      </c>
      <c r="H64" t="s" cm="1">
        <v>1450</v>
      </c>
    </row>
    <row r="65" spans="1:11" x14ac:dyDescent="0.4">
      <c r="A65" t="s">
        <v>411</v>
      </c>
      <c r="B65" t="s">
        <v>415</v>
      </c>
      <c r="C65" t="s">
        <v>93</v>
      </c>
      <c r="D65" t="s">
        <v>412</v>
      </c>
      <c r="E65" t="s">
        <v>413</v>
      </c>
      <c r="F65" t="s">
        <v>414</v>
      </c>
      <c r="G65" t="s">
        <v>415</v>
      </c>
      <c r="H65" t="s" cm="1">
        <v>1450</v>
      </c>
    </row>
    <row r="66" spans="1:11" x14ac:dyDescent="0.4">
      <c r="A66" t="s">
        <v>416</v>
      </c>
      <c r="B66" t="s">
        <v>421</v>
      </c>
      <c r="C66" t="s">
        <v>417</v>
      </c>
      <c r="D66" t="s">
        <v>418</v>
      </c>
      <c r="E66" t="s">
        <v>419</v>
      </c>
      <c r="F66" t="s">
        <v>420</v>
      </c>
      <c r="G66" t="s">
        <v>421</v>
      </c>
      <c r="H66" t="s">
        <v>1455</v>
      </c>
      <c r="K66" t="s">
        <v>422</v>
      </c>
    </row>
    <row r="67" spans="1:11" x14ac:dyDescent="0.4">
      <c r="A67" t="s">
        <v>423</v>
      </c>
      <c r="B67" t="s">
        <v>428</v>
      </c>
      <c r="C67" t="s">
        <v>424</v>
      </c>
      <c r="D67" t="s">
        <v>425</v>
      </c>
      <c r="E67" t="s">
        <v>426</v>
      </c>
      <c r="F67" t="s">
        <v>427</v>
      </c>
      <c r="G67" t="s">
        <v>428</v>
      </c>
      <c r="H67" t="s" cm="1">
        <v>1454</v>
      </c>
    </row>
    <row r="68" spans="1:11" x14ac:dyDescent="0.4">
      <c r="A68" t="s">
        <v>429</v>
      </c>
      <c r="B68" t="s">
        <v>433</v>
      </c>
      <c r="C68" t="s">
        <v>430</v>
      </c>
      <c r="D68" t="s">
        <v>431</v>
      </c>
      <c r="E68" t="s">
        <v>432</v>
      </c>
      <c r="F68" t="s">
        <v>255</v>
      </c>
      <c r="G68" t="s">
        <v>433</v>
      </c>
      <c r="H68" t="s" cm="1">
        <v>1452</v>
      </c>
    </row>
    <row r="69" spans="1:11" x14ac:dyDescent="0.4">
      <c r="A69" t="s">
        <v>434</v>
      </c>
      <c r="B69" t="s">
        <v>435</v>
      </c>
      <c r="C69" t="s">
        <v>174</v>
      </c>
      <c r="D69" t="s">
        <v>175</v>
      </c>
      <c r="E69" t="s">
        <v>176</v>
      </c>
      <c r="F69" t="s">
        <v>177</v>
      </c>
      <c r="G69" t="s">
        <v>435</v>
      </c>
      <c r="H69" t="s" cm="1">
        <v>1453</v>
      </c>
      <c r="I69" t="s">
        <v>157</v>
      </c>
    </row>
    <row r="70" spans="1:11" x14ac:dyDescent="0.4">
      <c r="A70" t="s">
        <v>436</v>
      </c>
      <c r="B70" t="s">
        <v>437</v>
      </c>
      <c r="C70" t="s">
        <v>174</v>
      </c>
      <c r="D70" t="s">
        <v>175</v>
      </c>
      <c r="E70" t="s">
        <v>176</v>
      </c>
      <c r="F70" t="s">
        <v>177</v>
      </c>
      <c r="G70" t="s">
        <v>437</v>
      </c>
      <c r="H70" t="s" cm="1">
        <v>1453</v>
      </c>
      <c r="I70" t="s">
        <v>157</v>
      </c>
    </row>
    <row r="71" spans="1:11" x14ac:dyDescent="0.4">
      <c r="A71" t="s">
        <v>438</v>
      </c>
      <c r="B71" t="s">
        <v>439</v>
      </c>
      <c r="C71" t="s">
        <v>17</v>
      </c>
      <c r="D71" t="s">
        <v>134</v>
      </c>
      <c r="E71" t="s">
        <v>135</v>
      </c>
      <c r="F71" t="s">
        <v>136</v>
      </c>
      <c r="G71" t="s">
        <v>439</v>
      </c>
      <c r="H71" t="s" cm="1">
        <v>1451</v>
      </c>
    </row>
    <row r="72" spans="1:11" x14ac:dyDescent="0.4">
      <c r="A72" t="s">
        <v>440</v>
      </c>
      <c r="B72" t="s">
        <v>441</v>
      </c>
      <c r="C72" t="s">
        <v>17</v>
      </c>
      <c r="D72" t="s">
        <v>134</v>
      </c>
      <c r="E72" t="s">
        <v>135</v>
      </c>
      <c r="F72" t="s">
        <v>136</v>
      </c>
      <c r="G72" t="s">
        <v>441</v>
      </c>
      <c r="H72" t="s" cm="1">
        <v>1451</v>
      </c>
      <c r="I72" t="s">
        <v>157</v>
      </c>
    </row>
    <row r="73" spans="1:11" x14ac:dyDescent="0.4">
      <c r="A73" t="s">
        <v>442</v>
      </c>
      <c r="B73" t="s">
        <v>443</v>
      </c>
      <c r="C73" t="s">
        <v>17</v>
      </c>
      <c r="D73" t="s">
        <v>134</v>
      </c>
      <c r="E73" t="s">
        <v>135</v>
      </c>
      <c r="F73" t="s">
        <v>136</v>
      </c>
      <c r="G73" t="s">
        <v>443</v>
      </c>
      <c r="H73" t="s" cm="1">
        <v>1451</v>
      </c>
    </row>
    <row r="74" spans="1:11" x14ac:dyDescent="0.4">
      <c r="A74" t="s">
        <v>444</v>
      </c>
      <c r="B74" t="s">
        <v>449</v>
      </c>
      <c r="C74" t="s">
        <v>445</v>
      </c>
      <c r="D74" t="s">
        <v>446</v>
      </c>
      <c r="E74" t="s">
        <v>447</v>
      </c>
      <c r="F74" t="s">
        <v>448</v>
      </c>
      <c r="G74" t="s">
        <v>449</v>
      </c>
      <c r="H74" t="s">
        <v>1455</v>
      </c>
    </row>
    <row r="75" spans="1:11" x14ac:dyDescent="0.4">
      <c r="A75" t="s">
        <v>450</v>
      </c>
      <c r="B75" t="s">
        <v>455</v>
      </c>
      <c r="C75" t="s">
        <v>451</v>
      </c>
      <c r="D75" t="s">
        <v>452</v>
      </c>
      <c r="E75" t="s">
        <v>453</v>
      </c>
      <c r="F75" t="s">
        <v>454</v>
      </c>
      <c r="G75" t="s">
        <v>455</v>
      </c>
      <c r="H75" t="s">
        <v>1455</v>
      </c>
    </row>
    <row r="76" spans="1:11" x14ac:dyDescent="0.4">
      <c r="A76" t="s">
        <v>456</v>
      </c>
      <c r="B76" t="s">
        <v>1678</v>
      </c>
      <c r="C76" t="s">
        <v>457</v>
      </c>
      <c r="D76" t="s">
        <v>458</v>
      </c>
      <c r="E76" t="s">
        <v>459</v>
      </c>
      <c r="F76" t="s">
        <v>460</v>
      </c>
      <c r="G76" t="s">
        <v>461</v>
      </c>
      <c r="H76" t="s">
        <v>1455</v>
      </c>
    </row>
    <row r="77" spans="1:11" x14ac:dyDescent="0.4">
      <c r="A77" t="s">
        <v>462</v>
      </c>
      <c r="B77" t="s">
        <v>1679</v>
      </c>
      <c r="C77" t="s">
        <v>463</v>
      </c>
      <c r="D77" t="s">
        <v>464</v>
      </c>
      <c r="E77" t="s">
        <v>465</v>
      </c>
      <c r="F77" t="s">
        <v>466</v>
      </c>
      <c r="G77" t="s">
        <v>467</v>
      </c>
      <c r="H77" t="s">
        <v>1455</v>
      </c>
    </row>
    <row r="78" spans="1:11" x14ac:dyDescent="0.4">
      <c r="A78" t="s">
        <v>468</v>
      </c>
      <c r="B78" t="s">
        <v>1680</v>
      </c>
      <c r="C78" t="s">
        <v>469</v>
      </c>
      <c r="D78" t="s">
        <v>470</v>
      </c>
      <c r="E78" t="s">
        <v>471</v>
      </c>
      <c r="F78" t="s">
        <v>466</v>
      </c>
      <c r="G78" t="s">
        <v>472</v>
      </c>
      <c r="H78" t="s">
        <v>1455</v>
      </c>
    </row>
    <row r="79" spans="1:11" x14ac:dyDescent="0.4">
      <c r="A79" t="s">
        <v>473</v>
      </c>
      <c r="B79" t="s">
        <v>1808</v>
      </c>
      <c r="C79" t="s">
        <v>474</v>
      </c>
      <c r="D79" t="s">
        <v>475</v>
      </c>
      <c r="E79" t="s">
        <v>476</v>
      </c>
      <c r="F79" t="s">
        <v>477</v>
      </c>
      <c r="G79" t="s">
        <v>478</v>
      </c>
      <c r="H79" t="s">
        <v>1455</v>
      </c>
    </row>
    <row r="80" spans="1:11" x14ac:dyDescent="0.4">
      <c r="A80" t="s">
        <v>479</v>
      </c>
      <c r="B80" t="s">
        <v>1681</v>
      </c>
      <c r="C80" t="s">
        <v>480</v>
      </c>
      <c r="D80" t="s">
        <v>481</v>
      </c>
      <c r="E80" t="s">
        <v>482</v>
      </c>
      <c r="F80" t="s">
        <v>317</v>
      </c>
      <c r="G80" t="s">
        <v>483</v>
      </c>
      <c r="H80" t="s" cm="1">
        <v>1454</v>
      </c>
    </row>
    <row r="81" spans="1:9" x14ac:dyDescent="0.4">
      <c r="A81" t="s">
        <v>484</v>
      </c>
      <c r="B81" t="s">
        <v>1682</v>
      </c>
      <c r="C81" t="s">
        <v>140</v>
      </c>
      <c r="D81" t="s">
        <v>141</v>
      </c>
      <c r="E81" t="s">
        <v>142</v>
      </c>
      <c r="F81" t="s">
        <v>143</v>
      </c>
      <c r="G81" t="s">
        <v>485</v>
      </c>
      <c r="H81" t="s">
        <v>1455</v>
      </c>
    </row>
    <row r="82" spans="1:9" x14ac:dyDescent="0.4">
      <c r="A82" t="s">
        <v>486</v>
      </c>
      <c r="B82" t="s">
        <v>1683</v>
      </c>
      <c r="C82" t="s">
        <v>174</v>
      </c>
      <c r="D82" t="s">
        <v>175</v>
      </c>
      <c r="E82" t="s">
        <v>176</v>
      </c>
      <c r="F82" t="s">
        <v>177</v>
      </c>
      <c r="G82" t="s">
        <v>487</v>
      </c>
      <c r="H82" t="s" cm="1">
        <v>1453</v>
      </c>
      <c r="I82" t="s">
        <v>201</v>
      </c>
    </row>
    <row r="83" spans="1:9" x14ac:dyDescent="0.4">
      <c r="A83" t="s">
        <v>488</v>
      </c>
      <c r="B83" t="s">
        <v>1684</v>
      </c>
      <c r="C83" t="s">
        <v>99</v>
      </c>
      <c r="D83" t="s">
        <v>489</v>
      </c>
      <c r="E83" t="s">
        <v>490</v>
      </c>
      <c r="F83" t="s">
        <v>491</v>
      </c>
      <c r="G83" t="s">
        <v>492</v>
      </c>
      <c r="H83" t="s" cm="1">
        <v>101</v>
      </c>
    </row>
    <row r="84" spans="1:9" x14ac:dyDescent="0.4">
      <c r="A84" t="s">
        <v>493</v>
      </c>
      <c r="B84" t="s">
        <v>1809</v>
      </c>
      <c r="C84" t="s">
        <v>494</v>
      </c>
      <c r="D84" t="s">
        <v>495</v>
      </c>
      <c r="E84" t="s">
        <v>496</v>
      </c>
      <c r="F84" t="s">
        <v>497</v>
      </c>
      <c r="G84" t="s">
        <v>498</v>
      </c>
      <c r="H84" t="s">
        <v>1455</v>
      </c>
    </row>
    <row r="85" spans="1:9" x14ac:dyDescent="0.4">
      <c r="A85" t="s">
        <v>499</v>
      </c>
      <c r="B85" t="s">
        <v>1685</v>
      </c>
      <c r="C85" t="s">
        <v>16</v>
      </c>
      <c r="D85" t="s">
        <v>500</v>
      </c>
      <c r="E85" t="s">
        <v>501</v>
      </c>
      <c r="F85" t="s">
        <v>502</v>
      </c>
      <c r="G85" t="s">
        <v>503</v>
      </c>
      <c r="H85" t="s" cm="1">
        <v>101</v>
      </c>
    </row>
    <row r="86" spans="1:9" x14ac:dyDescent="0.4">
      <c r="A86" t="s">
        <v>504</v>
      </c>
      <c r="B86" t="s">
        <v>1686</v>
      </c>
      <c r="C86" t="s">
        <v>94</v>
      </c>
      <c r="D86" t="s">
        <v>229</v>
      </c>
      <c r="E86" t="s">
        <v>230</v>
      </c>
      <c r="F86" t="s">
        <v>231</v>
      </c>
      <c r="G86" t="s">
        <v>505</v>
      </c>
      <c r="H86" t="s" cm="1">
        <v>1450</v>
      </c>
    </row>
    <row r="87" spans="1:9" x14ac:dyDescent="0.4">
      <c r="A87" t="s">
        <v>506</v>
      </c>
      <c r="B87" t="s">
        <v>1687</v>
      </c>
      <c r="C87" t="s">
        <v>17</v>
      </c>
      <c r="D87" t="s">
        <v>134</v>
      </c>
      <c r="E87" t="s">
        <v>135</v>
      </c>
      <c r="F87" t="s">
        <v>136</v>
      </c>
      <c r="G87" t="s">
        <v>507</v>
      </c>
      <c r="H87" t="s" cm="1">
        <v>1451</v>
      </c>
      <c r="I87" t="s">
        <v>208</v>
      </c>
    </row>
    <row r="88" spans="1:9" x14ac:dyDescent="0.4">
      <c r="A88" t="s">
        <v>508</v>
      </c>
      <c r="B88" t="s">
        <v>1688</v>
      </c>
      <c r="C88" t="s">
        <v>509</v>
      </c>
      <c r="D88" t="s">
        <v>510</v>
      </c>
      <c r="E88" t="s">
        <v>511</v>
      </c>
      <c r="F88" t="s">
        <v>512</v>
      </c>
      <c r="G88" t="s">
        <v>513</v>
      </c>
      <c r="H88" t="s" cm="1">
        <v>1454</v>
      </c>
    </row>
    <row r="89" spans="1:9" x14ac:dyDescent="0.4">
      <c r="A89" t="s">
        <v>514</v>
      </c>
      <c r="B89" t="s">
        <v>1689</v>
      </c>
      <c r="C89" t="s">
        <v>515</v>
      </c>
      <c r="D89" t="s">
        <v>516</v>
      </c>
      <c r="E89" t="s">
        <v>517</v>
      </c>
      <c r="F89" t="s">
        <v>427</v>
      </c>
      <c r="G89" t="s">
        <v>518</v>
      </c>
      <c r="H89" t="s" cm="1">
        <v>1454</v>
      </c>
    </row>
    <row r="90" spans="1:9" x14ac:dyDescent="0.4">
      <c r="A90" t="s">
        <v>519</v>
      </c>
      <c r="B90" t="s">
        <v>1690</v>
      </c>
      <c r="C90" t="s">
        <v>17</v>
      </c>
      <c r="D90" t="s">
        <v>134</v>
      </c>
      <c r="E90" t="s">
        <v>135</v>
      </c>
      <c r="F90" t="s">
        <v>136</v>
      </c>
      <c r="G90" t="s">
        <v>520</v>
      </c>
      <c r="H90" t="s" cm="1">
        <v>1451</v>
      </c>
      <c r="I90" t="s">
        <v>357</v>
      </c>
    </row>
    <row r="91" spans="1:9" x14ac:dyDescent="0.4">
      <c r="A91" t="s">
        <v>521</v>
      </c>
      <c r="B91" t="s">
        <v>1691</v>
      </c>
      <c r="C91" t="s">
        <v>365</v>
      </c>
      <c r="D91" t="s">
        <v>366</v>
      </c>
      <c r="E91" t="s">
        <v>367</v>
      </c>
      <c r="F91" t="s">
        <v>368</v>
      </c>
      <c r="G91" t="s">
        <v>522</v>
      </c>
      <c r="H91" t="s" cm="1">
        <v>1450</v>
      </c>
    </row>
    <row r="92" spans="1:9" x14ac:dyDescent="0.4">
      <c r="A92" t="s">
        <v>523</v>
      </c>
      <c r="B92" t="s">
        <v>1692</v>
      </c>
      <c r="C92" t="s">
        <v>524</v>
      </c>
      <c r="D92" t="s">
        <v>525</v>
      </c>
      <c r="E92" t="s">
        <v>526</v>
      </c>
      <c r="F92" t="s">
        <v>527</v>
      </c>
      <c r="G92" t="s">
        <v>528</v>
      </c>
      <c r="H92" t="s">
        <v>1455</v>
      </c>
    </row>
    <row r="93" spans="1:9" x14ac:dyDescent="0.4">
      <c r="A93" t="s">
        <v>529</v>
      </c>
      <c r="B93" t="s">
        <v>1693</v>
      </c>
      <c r="C93" t="s">
        <v>19</v>
      </c>
      <c r="D93" t="s">
        <v>530</v>
      </c>
      <c r="E93" t="s">
        <v>531</v>
      </c>
      <c r="F93" t="s">
        <v>532</v>
      </c>
      <c r="G93" t="s">
        <v>533</v>
      </c>
      <c r="H93" t="s" cm="1">
        <v>1450</v>
      </c>
    </row>
    <row r="94" spans="1:9" x14ac:dyDescent="0.4">
      <c r="A94" t="s">
        <v>534</v>
      </c>
      <c r="B94" t="s">
        <v>1694</v>
      </c>
      <c r="C94" t="s">
        <v>535</v>
      </c>
      <c r="D94" t="s">
        <v>536</v>
      </c>
      <c r="E94" t="s">
        <v>537</v>
      </c>
      <c r="F94" t="s">
        <v>538</v>
      </c>
      <c r="G94" t="s">
        <v>539</v>
      </c>
      <c r="H94" t="s">
        <v>1455</v>
      </c>
    </row>
    <row r="95" spans="1:9" x14ac:dyDescent="0.4">
      <c r="A95" t="s">
        <v>540</v>
      </c>
      <c r="B95" t="s">
        <v>1695</v>
      </c>
      <c r="C95" t="s">
        <v>541</v>
      </c>
      <c r="D95" t="s">
        <v>542</v>
      </c>
      <c r="E95" t="s">
        <v>543</v>
      </c>
      <c r="F95" t="s">
        <v>466</v>
      </c>
      <c r="G95" t="s">
        <v>544</v>
      </c>
      <c r="H95" t="s">
        <v>1455</v>
      </c>
    </row>
    <row r="96" spans="1:9" x14ac:dyDescent="0.4">
      <c r="A96" t="s">
        <v>545</v>
      </c>
      <c r="B96" t="s">
        <v>1696</v>
      </c>
      <c r="C96" t="s">
        <v>365</v>
      </c>
      <c r="D96" t="s">
        <v>366</v>
      </c>
      <c r="E96" t="s">
        <v>367</v>
      </c>
      <c r="F96" t="s">
        <v>368</v>
      </c>
      <c r="G96" t="s">
        <v>546</v>
      </c>
      <c r="H96" t="s" cm="1">
        <v>1450</v>
      </c>
    </row>
    <row r="97" spans="1:11" x14ac:dyDescent="0.4">
      <c r="A97" t="s">
        <v>547</v>
      </c>
      <c r="B97" t="s">
        <v>1697</v>
      </c>
      <c r="C97" t="s">
        <v>548</v>
      </c>
      <c r="D97" t="s">
        <v>549</v>
      </c>
      <c r="E97" t="s">
        <v>550</v>
      </c>
      <c r="F97" t="s">
        <v>551</v>
      </c>
      <c r="G97" t="s">
        <v>552</v>
      </c>
      <c r="H97" t="s">
        <v>1455</v>
      </c>
    </row>
    <row r="98" spans="1:11" x14ac:dyDescent="0.4">
      <c r="A98" t="s">
        <v>553</v>
      </c>
      <c r="B98" t="s">
        <v>1698</v>
      </c>
      <c r="C98" t="s">
        <v>554</v>
      </c>
      <c r="D98" t="s">
        <v>555</v>
      </c>
      <c r="E98" t="s">
        <v>556</v>
      </c>
      <c r="F98" t="s">
        <v>557</v>
      </c>
      <c r="G98" t="s">
        <v>558</v>
      </c>
      <c r="H98" t="s">
        <v>1455</v>
      </c>
      <c r="I98" t="s">
        <v>172</v>
      </c>
    </row>
    <row r="99" spans="1:11" x14ac:dyDescent="0.4">
      <c r="A99" t="s">
        <v>559</v>
      </c>
      <c r="B99" t="s">
        <v>1699</v>
      </c>
      <c r="C99" t="s">
        <v>17</v>
      </c>
      <c r="D99" t="s">
        <v>134</v>
      </c>
      <c r="E99" t="s">
        <v>135</v>
      </c>
      <c r="F99" t="s">
        <v>136</v>
      </c>
      <c r="G99" t="s">
        <v>560</v>
      </c>
      <c r="H99" t="s" cm="1">
        <v>1451</v>
      </c>
      <c r="I99" t="s">
        <v>561</v>
      </c>
    </row>
    <row r="100" spans="1:11" x14ac:dyDescent="0.4">
      <c r="A100" t="s">
        <v>562</v>
      </c>
      <c r="B100" t="s">
        <v>1700</v>
      </c>
      <c r="C100" t="s">
        <v>563</v>
      </c>
      <c r="D100" t="s">
        <v>564</v>
      </c>
      <c r="E100" t="s">
        <v>565</v>
      </c>
      <c r="F100" t="s">
        <v>566</v>
      </c>
      <c r="G100" t="s">
        <v>567</v>
      </c>
      <c r="H100" t="s">
        <v>1455</v>
      </c>
    </row>
    <row r="101" spans="1:11" x14ac:dyDescent="0.4">
      <c r="A101" t="s">
        <v>568</v>
      </c>
      <c r="B101" t="s">
        <v>1701</v>
      </c>
      <c r="C101" t="s">
        <v>174</v>
      </c>
      <c r="D101" t="s">
        <v>175</v>
      </c>
      <c r="E101" t="s">
        <v>176</v>
      </c>
      <c r="F101" t="s">
        <v>177</v>
      </c>
      <c r="G101" t="s">
        <v>569</v>
      </c>
      <c r="H101" t="s" cm="1">
        <v>1453</v>
      </c>
      <c r="I101" t="s">
        <v>248</v>
      </c>
    </row>
    <row r="102" spans="1:11" x14ac:dyDescent="0.4">
      <c r="A102" t="s">
        <v>570</v>
      </c>
      <c r="B102" t="s">
        <v>1702</v>
      </c>
      <c r="C102" t="s">
        <v>571</v>
      </c>
      <c r="D102" t="s">
        <v>572</v>
      </c>
      <c r="E102" t="s">
        <v>573</v>
      </c>
      <c r="F102" t="s">
        <v>261</v>
      </c>
      <c r="G102" t="s">
        <v>574</v>
      </c>
      <c r="H102" t="s" cm="1">
        <v>1454</v>
      </c>
      <c r="J102" t="s">
        <v>575</v>
      </c>
      <c r="K102" t="s">
        <v>172</v>
      </c>
    </row>
    <row r="103" spans="1:11" x14ac:dyDescent="0.4">
      <c r="A103" t="s">
        <v>576</v>
      </c>
      <c r="B103" t="s">
        <v>1703</v>
      </c>
      <c r="C103" t="s">
        <v>17</v>
      </c>
      <c r="D103" t="s">
        <v>134</v>
      </c>
      <c r="E103" t="s">
        <v>135</v>
      </c>
      <c r="F103" t="s">
        <v>136</v>
      </c>
      <c r="G103" t="s">
        <v>577</v>
      </c>
      <c r="H103" t="s" cm="1">
        <v>1451</v>
      </c>
      <c r="I103" t="s">
        <v>248</v>
      </c>
    </row>
    <row r="104" spans="1:11" x14ac:dyDescent="0.4">
      <c r="A104" t="s">
        <v>578</v>
      </c>
      <c r="B104" t="s">
        <v>1704</v>
      </c>
      <c r="C104" t="s">
        <v>579</v>
      </c>
      <c r="D104" t="s">
        <v>580</v>
      </c>
      <c r="E104" t="s">
        <v>581</v>
      </c>
      <c r="F104" t="s">
        <v>582</v>
      </c>
      <c r="G104" t="s">
        <v>583</v>
      </c>
      <c r="H104" t="s">
        <v>1455</v>
      </c>
    </row>
    <row r="105" spans="1:11" x14ac:dyDescent="0.4">
      <c r="A105" t="s">
        <v>584</v>
      </c>
      <c r="B105" t="s">
        <v>1705</v>
      </c>
      <c r="C105" t="s">
        <v>585</v>
      </c>
      <c r="D105" t="s">
        <v>586</v>
      </c>
      <c r="E105" t="s">
        <v>587</v>
      </c>
      <c r="F105" t="s">
        <v>454</v>
      </c>
      <c r="G105" t="s">
        <v>588</v>
      </c>
      <c r="H105" t="s">
        <v>1455</v>
      </c>
    </row>
    <row r="106" spans="1:11" x14ac:dyDescent="0.4">
      <c r="A106" t="s">
        <v>589</v>
      </c>
      <c r="B106" t="s">
        <v>1706</v>
      </c>
      <c r="C106" t="s">
        <v>590</v>
      </c>
      <c r="D106" t="s">
        <v>591</v>
      </c>
      <c r="E106" t="s">
        <v>592</v>
      </c>
      <c r="F106" t="s">
        <v>317</v>
      </c>
      <c r="G106" t="s">
        <v>593</v>
      </c>
      <c r="H106" t="s" cm="1">
        <v>1454</v>
      </c>
    </row>
    <row r="107" spans="1:11" x14ac:dyDescent="0.4">
      <c r="A107" t="s">
        <v>594</v>
      </c>
      <c r="B107" t="s">
        <v>1707</v>
      </c>
      <c r="C107" t="s">
        <v>595</v>
      </c>
      <c r="D107" t="s">
        <v>596</v>
      </c>
      <c r="E107" t="s">
        <v>597</v>
      </c>
      <c r="F107" t="s">
        <v>317</v>
      </c>
      <c r="G107" t="s">
        <v>598</v>
      </c>
      <c r="H107" t="s" cm="1">
        <v>1454</v>
      </c>
    </row>
    <row r="108" spans="1:11" x14ac:dyDescent="0.4">
      <c r="A108" t="s">
        <v>599</v>
      </c>
      <c r="B108" t="s">
        <v>1708</v>
      </c>
      <c r="C108" t="s">
        <v>600</v>
      </c>
      <c r="D108" t="s">
        <v>601</v>
      </c>
      <c r="E108" t="s">
        <v>602</v>
      </c>
      <c r="F108" t="s">
        <v>317</v>
      </c>
      <c r="G108" t="s">
        <v>603</v>
      </c>
      <c r="H108" t="s" cm="1">
        <v>1454</v>
      </c>
    </row>
    <row r="109" spans="1:11" x14ac:dyDescent="0.4">
      <c r="A109" t="s">
        <v>604</v>
      </c>
      <c r="B109" t="s">
        <v>1709</v>
      </c>
      <c r="C109" t="s">
        <v>480</v>
      </c>
      <c r="D109" t="s">
        <v>481</v>
      </c>
      <c r="E109" t="s">
        <v>482</v>
      </c>
      <c r="F109" t="s">
        <v>317</v>
      </c>
      <c r="G109" t="s">
        <v>605</v>
      </c>
      <c r="H109" t="s" cm="1">
        <v>1454</v>
      </c>
    </row>
    <row r="110" spans="1:11" x14ac:dyDescent="0.4">
      <c r="A110" t="s">
        <v>606</v>
      </c>
      <c r="B110" t="s">
        <v>1710</v>
      </c>
      <c r="C110" t="s">
        <v>17</v>
      </c>
      <c r="D110" t="s">
        <v>134</v>
      </c>
      <c r="E110" t="s">
        <v>135</v>
      </c>
      <c r="F110" t="s">
        <v>136</v>
      </c>
      <c r="G110" t="s">
        <v>607</v>
      </c>
      <c r="H110" t="s" cm="1">
        <v>1451</v>
      </c>
      <c r="I110" t="s">
        <v>197</v>
      </c>
    </row>
    <row r="111" spans="1:11" x14ac:dyDescent="0.4">
      <c r="A111" t="s">
        <v>608</v>
      </c>
      <c r="B111" t="s">
        <v>1711</v>
      </c>
      <c r="C111" t="s">
        <v>609</v>
      </c>
      <c r="D111" t="s">
        <v>610</v>
      </c>
      <c r="E111" t="s">
        <v>611</v>
      </c>
      <c r="F111" t="s">
        <v>612</v>
      </c>
      <c r="G111" t="s">
        <v>613</v>
      </c>
      <c r="H111" t="s">
        <v>1455</v>
      </c>
      <c r="I111" t="s">
        <v>614</v>
      </c>
      <c r="J111" t="s">
        <v>172</v>
      </c>
    </row>
    <row r="112" spans="1:11" x14ac:dyDescent="0.4">
      <c r="A112" t="s">
        <v>615</v>
      </c>
      <c r="B112" t="s">
        <v>1712</v>
      </c>
      <c r="C112" t="s">
        <v>384</v>
      </c>
      <c r="D112" t="s">
        <v>385</v>
      </c>
      <c r="E112" t="s">
        <v>386</v>
      </c>
      <c r="F112" t="s">
        <v>387</v>
      </c>
      <c r="G112" t="s">
        <v>616</v>
      </c>
      <c r="H112" t="s">
        <v>1455</v>
      </c>
      <c r="I112" t="s">
        <v>172</v>
      </c>
    </row>
    <row r="113" spans="1:12" x14ac:dyDescent="0.4">
      <c r="A113" t="s">
        <v>617</v>
      </c>
      <c r="B113" t="s">
        <v>1713</v>
      </c>
      <c r="C113" t="s">
        <v>19</v>
      </c>
      <c r="D113" t="s">
        <v>530</v>
      </c>
      <c r="E113" t="s">
        <v>531</v>
      </c>
      <c r="F113" t="s">
        <v>532</v>
      </c>
      <c r="G113" t="s">
        <v>618</v>
      </c>
      <c r="H113" t="s" cm="1">
        <v>1450</v>
      </c>
      <c r="I113" t="s">
        <v>172</v>
      </c>
    </row>
    <row r="114" spans="1:12" x14ac:dyDescent="0.4">
      <c r="A114" t="s">
        <v>619</v>
      </c>
      <c r="B114" t="s">
        <v>1714</v>
      </c>
      <c r="C114" t="s">
        <v>174</v>
      </c>
      <c r="D114" t="s">
        <v>175</v>
      </c>
      <c r="E114" t="s">
        <v>176</v>
      </c>
      <c r="F114" t="s">
        <v>177</v>
      </c>
      <c r="G114" t="s">
        <v>620</v>
      </c>
      <c r="H114" t="s" cm="1">
        <v>1453</v>
      </c>
    </row>
    <row r="115" spans="1:12" x14ac:dyDescent="0.4">
      <c r="A115" t="s">
        <v>621</v>
      </c>
      <c r="B115" t="s">
        <v>1715</v>
      </c>
      <c r="C115" t="s">
        <v>174</v>
      </c>
      <c r="D115" t="s">
        <v>175</v>
      </c>
      <c r="E115" t="s">
        <v>176</v>
      </c>
      <c r="F115" t="s">
        <v>177</v>
      </c>
      <c r="G115" t="s">
        <v>622</v>
      </c>
      <c r="H115" t="s" cm="1">
        <v>1453</v>
      </c>
    </row>
    <row r="116" spans="1:12" x14ac:dyDescent="0.4">
      <c r="A116" t="s">
        <v>623</v>
      </c>
      <c r="B116" t="s">
        <v>1716</v>
      </c>
      <c r="C116" t="s">
        <v>624</v>
      </c>
      <c r="D116" t="s">
        <v>625</v>
      </c>
      <c r="E116" t="s">
        <v>626</v>
      </c>
      <c r="F116" t="s">
        <v>627</v>
      </c>
      <c r="G116" t="s">
        <v>628</v>
      </c>
      <c r="H116" t="s">
        <v>1455</v>
      </c>
    </row>
    <row r="117" spans="1:12" x14ac:dyDescent="0.4">
      <c r="A117" t="s">
        <v>629</v>
      </c>
      <c r="B117" t="s">
        <v>1717</v>
      </c>
      <c r="C117" t="s">
        <v>146</v>
      </c>
      <c r="D117" t="s">
        <v>147</v>
      </c>
      <c r="E117" t="s">
        <v>148</v>
      </c>
      <c r="F117" t="s">
        <v>149</v>
      </c>
      <c r="G117" t="s">
        <v>630</v>
      </c>
      <c r="H117" t="s" cm="1">
        <v>1452</v>
      </c>
      <c r="I117" t="s">
        <v>172</v>
      </c>
    </row>
    <row r="118" spans="1:12" x14ac:dyDescent="0.4">
      <c r="A118" t="s">
        <v>631</v>
      </c>
      <c r="B118" t="s">
        <v>1718</v>
      </c>
      <c r="C118" t="s">
        <v>17</v>
      </c>
      <c r="D118" t="s">
        <v>134</v>
      </c>
      <c r="E118" t="s">
        <v>135</v>
      </c>
      <c r="F118" t="s">
        <v>136</v>
      </c>
      <c r="G118" t="s">
        <v>632</v>
      </c>
      <c r="H118" t="s" cm="1">
        <v>1451</v>
      </c>
      <c r="I118" t="s">
        <v>248</v>
      </c>
    </row>
    <row r="119" spans="1:12" x14ac:dyDescent="0.4">
      <c r="A119" t="s">
        <v>633</v>
      </c>
      <c r="B119" t="s">
        <v>1719</v>
      </c>
      <c r="C119" t="s">
        <v>634</v>
      </c>
      <c r="D119" t="s">
        <v>635</v>
      </c>
      <c r="E119" t="s">
        <v>636</v>
      </c>
      <c r="F119" t="s">
        <v>261</v>
      </c>
      <c r="G119" t="s">
        <v>637</v>
      </c>
      <c r="H119" t="s" cm="1">
        <v>1454</v>
      </c>
      <c r="J119" t="s">
        <v>638</v>
      </c>
      <c r="K119" t="s">
        <v>639</v>
      </c>
      <c r="L119" t="s">
        <v>172</v>
      </c>
    </row>
    <row r="120" spans="1:12" x14ac:dyDescent="0.4">
      <c r="A120" t="s">
        <v>640</v>
      </c>
      <c r="B120" t="s">
        <v>1720</v>
      </c>
      <c r="C120" t="s">
        <v>641</v>
      </c>
      <c r="D120" t="s">
        <v>642</v>
      </c>
      <c r="E120" t="s">
        <v>643</v>
      </c>
      <c r="F120" t="s">
        <v>237</v>
      </c>
      <c r="G120" t="s">
        <v>644</v>
      </c>
      <c r="H120" t="s">
        <v>1455</v>
      </c>
    </row>
    <row r="121" spans="1:12" x14ac:dyDescent="0.4">
      <c r="A121" t="s">
        <v>645</v>
      </c>
      <c r="B121" t="s">
        <v>1721</v>
      </c>
      <c r="C121" t="s">
        <v>646</v>
      </c>
      <c r="D121" t="s">
        <v>647</v>
      </c>
      <c r="E121" t="s">
        <v>648</v>
      </c>
      <c r="F121" t="s">
        <v>649</v>
      </c>
      <c r="G121" t="s">
        <v>650</v>
      </c>
      <c r="H121" t="s" cm="1">
        <v>1454</v>
      </c>
    </row>
    <row r="122" spans="1:12" x14ac:dyDescent="0.4">
      <c r="A122" t="s">
        <v>651</v>
      </c>
      <c r="B122" t="s">
        <v>1722</v>
      </c>
      <c r="C122" t="s">
        <v>19</v>
      </c>
      <c r="D122" t="s">
        <v>530</v>
      </c>
      <c r="E122" t="s">
        <v>531</v>
      </c>
      <c r="F122" t="s">
        <v>532</v>
      </c>
      <c r="G122" t="s">
        <v>652</v>
      </c>
      <c r="H122" t="s" cm="1">
        <v>1450</v>
      </c>
    </row>
    <row r="123" spans="1:12" x14ac:dyDescent="0.4">
      <c r="A123" t="s">
        <v>653</v>
      </c>
      <c r="B123" t="s">
        <v>1723</v>
      </c>
      <c r="C123" t="s">
        <v>174</v>
      </c>
      <c r="D123" t="s">
        <v>175</v>
      </c>
      <c r="E123" t="s">
        <v>176</v>
      </c>
      <c r="F123" t="s">
        <v>177</v>
      </c>
      <c r="G123" t="s">
        <v>654</v>
      </c>
      <c r="H123" t="s" cm="1">
        <v>1453</v>
      </c>
    </row>
    <row r="124" spans="1:12" x14ac:dyDescent="0.4">
      <c r="A124" t="s">
        <v>655</v>
      </c>
      <c r="B124" t="s">
        <v>1724</v>
      </c>
      <c r="C124" t="s">
        <v>174</v>
      </c>
      <c r="D124" t="s">
        <v>175</v>
      </c>
      <c r="E124" t="s">
        <v>176</v>
      </c>
      <c r="F124" t="s">
        <v>177</v>
      </c>
      <c r="G124" t="s">
        <v>656</v>
      </c>
      <c r="H124" t="s" cm="1">
        <v>1453</v>
      </c>
    </row>
    <row r="125" spans="1:12" x14ac:dyDescent="0.4">
      <c r="A125" t="s">
        <v>657</v>
      </c>
      <c r="B125" t="s">
        <v>1725</v>
      </c>
      <c r="C125" t="s">
        <v>344</v>
      </c>
      <c r="D125" t="s">
        <v>345</v>
      </c>
      <c r="E125" t="s">
        <v>346</v>
      </c>
      <c r="F125" t="s">
        <v>347</v>
      </c>
      <c r="G125" t="s">
        <v>658</v>
      </c>
      <c r="H125" t="s" cm="1">
        <v>1452</v>
      </c>
    </row>
    <row r="126" spans="1:12" x14ac:dyDescent="0.4">
      <c r="A126" t="s">
        <v>659</v>
      </c>
      <c r="B126" t="s">
        <v>1726</v>
      </c>
      <c r="C126" t="s">
        <v>660</v>
      </c>
      <c r="D126" t="s">
        <v>661</v>
      </c>
      <c r="E126" t="s">
        <v>662</v>
      </c>
      <c r="F126" t="s">
        <v>663</v>
      </c>
      <c r="G126" t="s">
        <v>664</v>
      </c>
      <c r="H126" t="s" cm="1">
        <v>1452</v>
      </c>
    </row>
    <row r="127" spans="1:12" x14ac:dyDescent="0.4">
      <c r="A127" t="s">
        <v>665</v>
      </c>
      <c r="B127" t="s">
        <v>1727</v>
      </c>
      <c r="C127" t="s">
        <v>234</v>
      </c>
      <c r="D127" t="s">
        <v>235</v>
      </c>
      <c r="E127" t="s">
        <v>236</v>
      </c>
      <c r="F127" t="s">
        <v>237</v>
      </c>
      <c r="G127" t="s">
        <v>666</v>
      </c>
      <c r="H127" t="s">
        <v>1455</v>
      </c>
    </row>
    <row r="128" spans="1:12" x14ac:dyDescent="0.4">
      <c r="A128" t="s">
        <v>667</v>
      </c>
      <c r="B128" t="s">
        <v>1728</v>
      </c>
      <c r="C128" t="s">
        <v>668</v>
      </c>
      <c r="D128" t="s">
        <v>669</v>
      </c>
      <c r="E128" t="s">
        <v>670</v>
      </c>
      <c r="F128" t="s">
        <v>671</v>
      </c>
      <c r="G128" t="s">
        <v>672</v>
      </c>
      <c r="H128" t="s">
        <v>1455</v>
      </c>
    </row>
    <row r="129" spans="1:12" x14ac:dyDescent="0.4">
      <c r="A129" t="s">
        <v>673</v>
      </c>
      <c r="B129" t="s">
        <v>1729</v>
      </c>
      <c r="C129" t="s">
        <v>174</v>
      </c>
      <c r="D129" t="s">
        <v>175</v>
      </c>
      <c r="E129" t="s">
        <v>176</v>
      </c>
      <c r="F129" t="s">
        <v>177</v>
      </c>
      <c r="G129" t="s">
        <v>674</v>
      </c>
      <c r="H129" t="s" cm="1">
        <v>1453</v>
      </c>
      <c r="I129" t="s">
        <v>201</v>
      </c>
    </row>
    <row r="130" spans="1:12" x14ac:dyDescent="0.4">
      <c r="A130" t="s">
        <v>675</v>
      </c>
      <c r="B130" t="s">
        <v>1730</v>
      </c>
      <c r="C130" t="s">
        <v>17</v>
      </c>
      <c r="D130" t="s">
        <v>134</v>
      </c>
      <c r="E130" t="s">
        <v>135</v>
      </c>
      <c r="F130" t="s">
        <v>136</v>
      </c>
      <c r="G130" t="s">
        <v>676</v>
      </c>
      <c r="H130" t="s" cm="1">
        <v>1451</v>
      </c>
      <c r="I130" t="s">
        <v>561</v>
      </c>
    </row>
    <row r="131" spans="1:12" x14ac:dyDescent="0.4">
      <c r="A131" t="s">
        <v>677</v>
      </c>
      <c r="B131" t="s">
        <v>1731</v>
      </c>
      <c r="C131" t="s">
        <v>174</v>
      </c>
      <c r="D131" t="s">
        <v>175</v>
      </c>
      <c r="E131" t="s">
        <v>176</v>
      </c>
      <c r="F131" t="s">
        <v>177</v>
      </c>
      <c r="G131" t="s">
        <v>678</v>
      </c>
      <c r="H131" t="s" cm="1">
        <v>1453</v>
      </c>
      <c r="I131" t="s">
        <v>208</v>
      </c>
    </row>
    <row r="132" spans="1:12" x14ac:dyDescent="0.4">
      <c r="A132" t="s">
        <v>679</v>
      </c>
      <c r="B132" t="s">
        <v>1732</v>
      </c>
      <c r="C132" t="s">
        <v>680</v>
      </c>
      <c r="D132" t="s">
        <v>681</v>
      </c>
      <c r="E132" t="s">
        <v>682</v>
      </c>
      <c r="F132" t="s">
        <v>261</v>
      </c>
      <c r="G132" t="s">
        <v>683</v>
      </c>
      <c r="H132" t="s" cm="1">
        <v>1454</v>
      </c>
      <c r="J132" t="s">
        <v>638</v>
      </c>
      <c r="K132" t="s">
        <v>172</v>
      </c>
    </row>
    <row r="133" spans="1:12" x14ac:dyDescent="0.4">
      <c r="A133" t="s">
        <v>684</v>
      </c>
      <c r="B133" t="s">
        <v>1733</v>
      </c>
      <c r="C133" t="s">
        <v>174</v>
      </c>
      <c r="D133" t="s">
        <v>175</v>
      </c>
      <c r="E133" t="s">
        <v>176</v>
      </c>
      <c r="F133" t="s">
        <v>177</v>
      </c>
      <c r="G133" t="s">
        <v>685</v>
      </c>
      <c r="H133" t="s" cm="1">
        <v>1453</v>
      </c>
    </row>
    <row r="134" spans="1:12" x14ac:dyDescent="0.4">
      <c r="A134" t="s">
        <v>686</v>
      </c>
      <c r="B134" t="s">
        <v>1734</v>
      </c>
      <c r="C134" t="s">
        <v>174</v>
      </c>
      <c r="D134" t="s">
        <v>175</v>
      </c>
      <c r="E134" t="s">
        <v>176</v>
      </c>
      <c r="F134" t="s">
        <v>177</v>
      </c>
      <c r="G134" t="s">
        <v>687</v>
      </c>
      <c r="H134" t="s" cm="1">
        <v>1453</v>
      </c>
    </row>
    <row r="135" spans="1:12" x14ac:dyDescent="0.4">
      <c r="A135" t="s">
        <v>688</v>
      </c>
      <c r="B135" t="s">
        <v>1735</v>
      </c>
      <c r="C135" t="s">
        <v>174</v>
      </c>
      <c r="D135" t="s">
        <v>175</v>
      </c>
      <c r="E135" t="s">
        <v>176</v>
      </c>
      <c r="F135" t="s">
        <v>177</v>
      </c>
      <c r="G135" t="s">
        <v>689</v>
      </c>
      <c r="H135" t="s" cm="1">
        <v>1453</v>
      </c>
      <c r="I135" t="s">
        <v>197</v>
      </c>
    </row>
    <row r="136" spans="1:12" x14ac:dyDescent="0.4">
      <c r="A136" t="s">
        <v>690</v>
      </c>
      <c r="B136" t="s">
        <v>1736</v>
      </c>
      <c r="C136" t="s">
        <v>344</v>
      </c>
      <c r="D136" t="s">
        <v>345</v>
      </c>
      <c r="E136" t="s">
        <v>346</v>
      </c>
      <c r="F136" t="s">
        <v>347</v>
      </c>
      <c r="G136" t="s">
        <v>691</v>
      </c>
      <c r="H136" t="s" cm="1">
        <v>1452</v>
      </c>
    </row>
    <row r="137" spans="1:12" x14ac:dyDescent="0.4">
      <c r="A137" t="s">
        <v>692</v>
      </c>
      <c r="B137" t="s">
        <v>1737</v>
      </c>
      <c r="C137" t="s">
        <v>17</v>
      </c>
      <c r="D137" t="s">
        <v>134</v>
      </c>
      <c r="E137" t="s">
        <v>135</v>
      </c>
      <c r="F137" t="s">
        <v>136</v>
      </c>
      <c r="G137" t="s">
        <v>693</v>
      </c>
      <c r="H137" t="s" cm="1">
        <v>1451</v>
      </c>
    </row>
    <row r="138" spans="1:12" x14ac:dyDescent="0.4">
      <c r="A138" t="s">
        <v>694</v>
      </c>
      <c r="B138" t="s">
        <v>1737</v>
      </c>
      <c r="C138" t="s">
        <v>17</v>
      </c>
      <c r="D138" t="s">
        <v>134</v>
      </c>
      <c r="E138" t="s">
        <v>135</v>
      </c>
      <c r="F138" t="s">
        <v>136</v>
      </c>
      <c r="G138" t="s">
        <v>693</v>
      </c>
      <c r="H138" t="s" cm="1">
        <v>1451</v>
      </c>
    </row>
    <row r="139" spans="1:12" x14ac:dyDescent="0.4">
      <c r="A139" t="s">
        <v>695</v>
      </c>
      <c r="B139" t="s">
        <v>1791</v>
      </c>
      <c r="C139" t="s">
        <v>365</v>
      </c>
      <c r="D139" t="s">
        <v>366</v>
      </c>
      <c r="E139" t="s">
        <v>367</v>
      </c>
      <c r="F139" t="s">
        <v>368</v>
      </c>
      <c r="G139" t="s">
        <v>696</v>
      </c>
      <c r="H139" t="s" cm="1">
        <v>1450</v>
      </c>
    </row>
    <row r="140" spans="1:12" x14ac:dyDescent="0.4">
      <c r="A140" t="s">
        <v>697</v>
      </c>
      <c r="B140" t="s">
        <v>1772</v>
      </c>
      <c r="C140" t="s">
        <v>698</v>
      </c>
      <c r="D140" t="s">
        <v>699</v>
      </c>
      <c r="E140" t="s">
        <v>700</v>
      </c>
      <c r="F140" t="s">
        <v>317</v>
      </c>
      <c r="G140" t="s">
        <v>701</v>
      </c>
      <c r="H140" t="s" cm="1">
        <v>1454</v>
      </c>
    </row>
    <row r="141" spans="1:12" x14ac:dyDescent="0.4">
      <c r="A141" t="s">
        <v>702</v>
      </c>
      <c r="B141" t="s">
        <v>1773</v>
      </c>
      <c r="C141" t="s">
        <v>314</v>
      </c>
      <c r="D141" t="s">
        <v>315</v>
      </c>
      <c r="E141" t="s">
        <v>316</v>
      </c>
      <c r="F141" t="s">
        <v>317</v>
      </c>
      <c r="G141" t="s">
        <v>703</v>
      </c>
      <c r="H141" t="s" cm="1">
        <v>1454</v>
      </c>
    </row>
    <row r="142" spans="1:12" x14ac:dyDescent="0.4">
      <c r="A142" t="s">
        <v>704</v>
      </c>
      <c r="B142" t="s">
        <v>1743</v>
      </c>
      <c r="C142" t="s">
        <v>705</v>
      </c>
      <c r="D142" t="s">
        <v>706</v>
      </c>
      <c r="E142" t="s">
        <v>707</v>
      </c>
      <c r="F142" t="s">
        <v>708</v>
      </c>
      <c r="G142" t="s">
        <v>709</v>
      </c>
      <c r="H142" t="s" cm="1">
        <v>1454</v>
      </c>
      <c r="K142" t="s">
        <v>270</v>
      </c>
      <c r="L142" t="s">
        <v>271</v>
      </c>
    </row>
    <row r="143" spans="1:12" x14ac:dyDescent="0.4">
      <c r="A143" t="s">
        <v>710</v>
      </c>
      <c r="B143" t="s">
        <v>1744</v>
      </c>
      <c r="C143" t="s">
        <v>140</v>
      </c>
      <c r="D143" t="s">
        <v>141</v>
      </c>
      <c r="E143" t="s">
        <v>142</v>
      </c>
      <c r="F143" t="s">
        <v>143</v>
      </c>
      <c r="G143" t="s">
        <v>711</v>
      </c>
      <c r="H143" t="s">
        <v>1455</v>
      </c>
    </row>
    <row r="144" spans="1:12" x14ac:dyDescent="0.4">
      <c r="A144" t="s">
        <v>712</v>
      </c>
      <c r="B144" t="s">
        <v>1745</v>
      </c>
      <c r="C144" t="s">
        <v>146</v>
      </c>
      <c r="D144" t="s">
        <v>147</v>
      </c>
      <c r="E144" t="s">
        <v>148</v>
      </c>
      <c r="F144" t="s">
        <v>149</v>
      </c>
      <c r="G144" t="s">
        <v>713</v>
      </c>
      <c r="H144" t="s" cm="1">
        <v>1452</v>
      </c>
    </row>
    <row r="145" spans="1:9" x14ac:dyDescent="0.4">
      <c r="A145" t="s">
        <v>714</v>
      </c>
      <c r="B145" t="s">
        <v>1745</v>
      </c>
      <c r="C145" t="s">
        <v>146</v>
      </c>
      <c r="D145" t="s">
        <v>147</v>
      </c>
      <c r="E145" t="s">
        <v>148</v>
      </c>
      <c r="F145" t="s">
        <v>149</v>
      </c>
      <c r="G145" t="s">
        <v>713</v>
      </c>
      <c r="H145" t="s" cm="1">
        <v>1452</v>
      </c>
    </row>
    <row r="146" spans="1:9" x14ac:dyDescent="0.4">
      <c r="A146" t="s">
        <v>715</v>
      </c>
      <c r="B146" t="s">
        <v>1746</v>
      </c>
      <c r="C146" t="s">
        <v>17</v>
      </c>
      <c r="D146" t="s">
        <v>134</v>
      </c>
      <c r="E146" t="s">
        <v>135</v>
      </c>
      <c r="F146" t="s">
        <v>136</v>
      </c>
      <c r="G146" t="s">
        <v>716</v>
      </c>
      <c r="H146" t="s" cm="1">
        <v>1451</v>
      </c>
      <c r="I146" t="s">
        <v>248</v>
      </c>
    </row>
    <row r="147" spans="1:9" x14ac:dyDescent="0.4">
      <c r="A147" t="s">
        <v>717</v>
      </c>
      <c r="B147" t="s">
        <v>1792</v>
      </c>
      <c r="C147" t="s">
        <v>23</v>
      </c>
      <c r="D147" t="s">
        <v>129</v>
      </c>
      <c r="E147" t="s">
        <v>130</v>
      </c>
      <c r="F147" t="s">
        <v>131</v>
      </c>
      <c r="G147" t="s">
        <v>718</v>
      </c>
      <c r="H147" t="s" cm="1">
        <v>1450</v>
      </c>
    </row>
    <row r="148" spans="1:9" x14ac:dyDescent="0.4">
      <c r="A148" t="s">
        <v>719</v>
      </c>
      <c r="B148" t="s">
        <v>1792</v>
      </c>
      <c r="C148" t="s">
        <v>23</v>
      </c>
      <c r="D148" t="s">
        <v>129</v>
      </c>
      <c r="E148" t="s">
        <v>130</v>
      </c>
      <c r="F148" t="s">
        <v>131</v>
      </c>
      <c r="G148" t="s">
        <v>718</v>
      </c>
      <c r="H148" t="s" cm="1">
        <v>1450</v>
      </c>
    </row>
    <row r="149" spans="1:9" x14ac:dyDescent="0.4">
      <c r="A149" t="s">
        <v>720</v>
      </c>
      <c r="B149" t="s">
        <v>1793</v>
      </c>
      <c r="C149" t="s">
        <v>93</v>
      </c>
      <c r="D149" t="s">
        <v>412</v>
      </c>
      <c r="E149" t="s">
        <v>413</v>
      </c>
      <c r="F149" t="s">
        <v>414</v>
      </c>
      <c r="G149" t="s">
        <v>721</v>
      </c>
      <c r="H149" t="s" cm="1">
        <v>1450</v>
      </c>
    </row>
    <row r="150" spans="1:9" x14ac:dyDescent="0.4">
      <c r="A150" t="s">
        <v>722</v>
      </c>
      <c r="B150" t="s">
        <v>1747</v>
      </c>
      <c r="C150" t="s">
        <v>140</v>
      </c>
      <c r="D150" t="s">
        <v>141</v>
      </c>
      <c r="E150" t="s">
        <v>142</v>
      </c>
      <c r="F150" t="s">
        <v>143</v>
      </c>
      <c r="G150" t="s">
        <v>723</v>
      </c>
      <c r="H150" t="s">
        <v>1455</v>
      </c>
    </row>
    <row r="151" spans="1:9" x14ac:dyDescent="0.4">
      <c r="A151" t="s">
        <v>724</v>
      </c>
      <c r="B151" t="s">
        <v>1747</v>
      </c>
      <c r="C151" t="s">
        <v>140</v>
      </c>
      <c r="D151" t="s">
        <v>141</v>
      </c>
      <c r="E151" t="s">
        <v>142</v>
      </c>
      <c r="F151" t="s">
        <v>143</v>
      </c>
      <c r="G151" t="s">
        <v>723</v>
      </c>
      <c r="H151" t="s">
        <v>1455</v>
      </c>
    </row>
    <row r="152" spans="1:9" x14ac:dyDescent="0.4">
      <c r="A152" t="s">
        <v>725</v>
      </c>
      <c r="B152" t="s">
        <v>1748</v>
      </c>
      <c r="C152" t="s">
        <v>146</v>
      </c>
      <c r="D152" t="s">
        <v>147</v>
      </c>
      <c r="E152" t="s">
        <v>148</v>
      </c>
      <c r="F152" t="s">
        <v>149</v>
      </c>
      <c r="G152" t="s">
        <v>726</v>
      </c>
      <c r="H152" t="s" cm="1">
        <v>1452</v>
      </c>
    </row>
    <row r="153" spans="1:9" x14ac:dyDescent="0.4">
      <c r="A153" t="s">
        <v>727</v>
      </c>
      <c r="B153" t="s">
        <v>1749</v>
      </c>
      <c r="C153" t="s">
        <v>728</v>
      </c>
      <c r="D153" t="s">
        <v>729</v>
      </c>
      <c r="E153" t="s">
        <v>730</v>
      </c>
      <c r="F153" t="s">
        <v>731</v>
      </c>
      <c r="G153" t="s">
        <v>732</v>
      </c>
      <c r="H153" t="s">
        <v>1455</v>
      </c>
    </row>
    <row r="154" spans="1:9" x14ac:dyDescent="0.4">
      <c r="A154" t="s">
        <v>733</v>
      </c>
      <c r="B154" t="s">
        <v>1750</v>
      </c>
      <c r="C154" t="s">
        <v>140</v>
      </c>
      <c r="D154" t="s">
        <v>141</v>
      </c>
      <c r="E154" t="s">
        <v>142</v>
      </c>
      <c r="F154" t="s">
        <v>143</v>
      </c>
      <c r="G154" t="s">
        <v>734</v>
      </c>
      <c r="H154" t="s">
        <v>1455</v>
      </c>
    </row>
    <row r="155" spans="1:9" x14ac:dyDescent="0.4">
      <c r="A155" t="s">
        <v>735</v>
      </c>
      <c r="B155" t="s">
        <v>1794</v>
      </c>
      <c r="C155" t="s">
        <v>365</v>
      </c>
      <c r="D155" t="s">
        <v>366</v>
      </c>
      <c r="E155" t="s">
        <v>367</v>
      </c>
      <c r="F155" t="s">
        <v>368</v>
      </c>
      <c r="G155" t="s">
        <v>736</v>
      </c>
      <c r="H155" t="s" cm="1">
        <v>1450</v>
      </c>
    </row>
    <row r="156" spans="1:9" x14ac:dyDescent="0.4">
      <c r="A156" t="s">
        <v>737</v>
      </c>
      <c r="B156" t="s">
        <v>1667</v>
      </c>
      <c r="C156" t="s">
        <v>660</v>
      </c>
      <c r="D156" t="s">
        <v>661</v>
      </c>
      <c r="E156" t="s">
        <v>662</v>
      </c>
      <c r="F156" t="s">
        <v>663</v>
      </c>
      <c r="G156" t="s">
        <v>738</v>
      </c>
      <c r="H156" t="s" cm="1">
        <v>1452</v>
      </c>
    </row>
    <row r="157" spans="1:9" x14ac:dyDescent="0.4">
      <c r="A157" t="s">
        <v>739</v>
      </c>
      <c r="B157" t="s">
        <v>1751</v>
      </c>
      <c r="C157" t="s">
        <v>17</v>
      </c>
      <c r="D157" t="s">
        <v>134</v>
      </c>
      <c r="E157" t="s">
        <v>135</v>
      </c>
      <c r="F157" t="s">
        <v>136</v>
      </c>
      <c r="G157" t="s">
        <v>740</v>
      </c>
      <c r="H157" t="s" cm="1">
        <v>1451</v>
      </c>
    </row>
    <row r="158" spans="1:9" x14ac:dyDescent="0.4">
      <c r="A158" t="s">
        <v>741</v>
      </c>
      <c r="B158" t="s">
        <v>1751</v>
      </c>
      <c r="C158" t="s">
        <v>17</v>
      </c>
      <c r="D158" t="s">
        <v>134</v>
      </c>
      <c r="E158" t="s">
        <v>135</v>
      </c>
      <c r="F158" t="s">
        <v>136</v>
      </c>
      <c r="G158" t="s">
        <v>740</v>
      </c>
      <c r="H158" t="s" cm="1">
        <v>1451</v>
      </c>
    </row>
    <row r="159" spans="1:9" x14ac:dyDescent="0.4">
      <c r="A159" t="s">
        <v>742</v>
      </c>
      <c r="B159" t="s">
        <v>1751</v>
      </c>
      <c r="C159" t="s">
        <v>17</v>
      </c>
      <c r="D159" t="s">
        <v>134</v>
      </c>
      <c r="E159" t="s">
        <v>135</v>
      </c>
      <c r="F159" t="s">
        <v>136</v>
      </c>
      <c r="G159" t="s">
        <v>740</v>
      </c>
      <c r="H159" t="s" cm="1">
        <v>1451</v>
      </c>
    </row>
    <row r="160" spans="1:9" x14ac:dyDescent="0.4">
      <c r="A160" t="s">
        <v>743</v>
      </c>
      <c r="B160" t="s">
        <v>1779</v>
      </c>
      <c r="C160" t="s">
        <v>744</v>
      </c>
      <c r="D160" t="s">
        <v>745</v>
      </c>
      <c r="E160" t="s">
        <v>746</v>
      </c>
      <c r="F160" t="s">
        <v>255</v>
      </c>
      <c r="G160" t="s">
        <v>747</v>
      </c>
      <c r="H160" t="s" cm="1">
        <v>1452</v>
      </c>
      <c r="I160" t="s">
        <v>748</v>
      </c>
    </row>
    <row r="161" spans="1:12" x14ac:dyDescent="0.4">
      <c r="A161" t="s">
        <v>749</v>
      </c>
      <c r="B161" t="s">
        <v>1752</v>
      </c>
      <c r="C161" t="s">
        <v>17</v>
      </c>
      <c r="D161" t="s">
        <v>134</v>
      </c>
      <c r="E161" t="s">
        <v>135</v>
      </c>
      <c r="F161" t="s">
        <v>136</v>
      </c>
      <c r="G161" t="s">
        <v>750</v>
      </c>
      <c r="H161" t="s" cm="1">
        <v>1451</v>
      </c>
      <c r="I161" t="s">
        <v>751</v>
      </c>
      <c r="J161" t="s">
        <v>197</v>
      </c>
    </row>
    <row r="162" spans="1:12" x14ac:dyDescent="0.4">
      <c r="A162" t="s">
        <v>752</v>
      </c>
      <c r="B162" t="s">
        <v>1753</v>
      </c>
      <c r="C162" t="s">
        <v>17</v>
      </c>
      <c r="D162" t="s">
        <v>134</v>
      </c>
      <c r="E162" t="s">
        <v>135</v>
      </c>
      <c r="F162" t="s">
        <v>136</v>
      </c>
      <c r="G162" t="s">
        <v>753</v>
      </c>
      <c r="H162" t="s" cm="1">
        <v>1451</v>
      </c>
    </row>
    <row r="163" spans="1:12" x14ac:dyDescent="0.4">
      <c r="A163" t="s">
        <v>754</v>
      </c>
      <c r="B163" t="s">
        <v>1753</v>
      </c>
      <c r="C163" t="s">
        <v>17</v>
      </c>
      <c r="D163" t="s">
        <v>134</v>
      </c>
      <c r="E163" t="s">
        <v>135</v>
      </c>
      <c r="F163" t="s">
        <v>136</v>
      </c>
      <c r="G163" t="s">
        <v>753</v>
      </c>
      <c r="H163" t="s" cm="1">
        <v>1451</v>
      </c>
    </row>
    <row r="164" spans="1:12" x14ac:dyDescent="0.4">
      <c r="A164" t="s">
        <v>755</v>
      </c>
      <c r="B164" t="s">
        <v>1753</v>
      </c>
      <c r="C164" t="s">
        <v>17</v>
      </c>
      <c r="D164" t="s">
        <v>134</v>
      </c>
      <c r="E164" t="s">
        <v>135</v>
      </c>
      <c r="F164" t="s">
        <v>136</v>
      </c>
      <c r="G164" t="s">
        <v>753</v>
      </c>
      <c r="H164" t="s" cm="1">
        <v>1451</v>
      </c>
    </row>
    <row r="165" spans="1:12" x14ac:dyDescent="0.4">
      <c r="A165" t="s">
        <v>756</v>
      </c>
      <c r="B165" t="s">
        <v>1754</v>
      </c>
      <c r="C165" t="s">
        <v>174</v>
      </c>
      <c r="D165" t="s">
        <v>175</v>
      </c>
      <c r="E165" t="s">
        <v>176</v>
      </c>
      <c r="F165" t="s">
        <v>177</v>
      </c>
      <c r="G165" t="s">
        <v>757</v>
      </c>
      <c r="H165" t="s" cm="1">
        <v>1453</v>
      </c>
      <c r="I165" t="s">
        <v>201</v>
      </c>
    </row>
    <row r="166" spans="1:12" x14ac:dyDescent="0.4">
      <c r="A166" t="s">
        <v>758</v>
      </c>
      <c r="B166" t="s">
        <v>1668</v>
      </c>
      <c r="C166" t="s">
        <v>759</v>
      </c>
      <c r="D166" t="s">
        <v>760</v>
      </c>
      <c r="E166" t="s">
        <v>761</v>
      </c>
      <c r="F166" t="s">
        <v>261</v>
      </c>
      <c r="G166" t="s">
        <v>762</v>
      </c>
      <c r="H166" t="s" cm="1">
        <v>1454</v>
      </c>
      <c r="J166" t="s">
        <v>638</v>
      </c>
      <c r="K166" t="s">
        <v>270</v>
      </c>
      <c r="L166" t="s">
        <v>763</v>
      </c>
    </row>
    <row r="167" spans="1:12" x14ac:dyDescent="0.4">
      <c r="A167" t="s">
        <v>764</v>
      </c>
      <c r="B167" t="s">
        <v>1774</v>
      </c>
      <c r="C167" t="s">
        <v>344</v>
      </c>
      <c r="D167" t="s">
        <v>345</v>
      </c>
      <c r="E167" t="s">
        <v>346</v>
      </c>
      <c r="F167" t="s">
        <v>347</v>
      </c>
      <c r="G167" t="s">
        <v>765</v>
      </c>
      <c r="H167" t="s" cm="1">
        <v>1452</v>
      </c>
      <c r="I167" t="s">
        <v>201</v>
      </c>
    </row>
    <row r="168" spans="1:12" x14ac:dyDescent="0.4">
      <c r="A168" t="s">
        <v>766</v>
      </c>
      <c r="B168" t="s">
        <v>1780</v>
      </c>
      <c r="C168" t="s">
        <v>457</v>
      </c>
      <c r="D168" t="s">
        <v>458</v>
      </c>
      <c r="E168" t="s">
        <v>459</v>
      </c>
      <c r="F168" t="s">
        <v>460</v>
      </c>
      <c r="G168" t="s">
        <v>767</v>
      </c>
      <c r="H168" t="s">
        <v>1455</v>
      </c>
    </row>
    <row r="169" spans="1:12" x14ac:dyDescent="0.4">
      <c r="A169" t="s">
        <v>768</v>
      </c>
      <c r="B169" t="s">
        <v>1781</v>
      </c>
      <c r="C169" t="s">
        <v>769</v>
      </c>
      <c r="D169" t="s">
        <v>770</v>
      </c>
      <c r="E169" t="s">
        <v>771</v>
      </c>
      <c r="F169" t="s">
        <v>772</v>
      </c>
      <c r="G169" t="s">
        <v>773</v>
      </c>
      <c r="H169" t="s">
        <v>1455</v>
      </c>
      <c r="I169" t="s">
        <v>774</v>
      </c>
    </row>
    <row r="170" spans="1:12" x14ac:dyDescent="0.4">
      <c r="A170" t="s">
        <v>775</v>
      </c>
      <c r="B170" t="s">
        <v>1755</v>
      </c>
      <c r="C170" t="s">
        <v>19</v>
      </c>
      <c r="D170" t="s">
        <v>530</v>
      </c>
      <c r="E170" t="s">
        <v>531</v>
      </c>
      <c r="F170" t="s">
        <v>532</v>
      </c>
      <c r="G170" t="s">
        <v>776</v>
      </c>
      <c r="H170" t="s" cm="1">
        <v>1450</v>
      </c>
    </row>
    <row r="171" spans="1:12" x14ac:dyDescent="0.4">
      <c r="A171" t="s">
        <v>777</v>
      </c>
      <c r="B171" t="s">
        <v>1755</v>
      </c>
      <c r="C171" t="s">
        <v>19</v>
      </c>
      <c r="D171" t="s">
        <v>530</v>
      </c>
      <c r="E171" t="s">
        <v>531</v>
      </c>
      <c r="F171" t="s">
        <v>532</v>
      </c>
      <c r="G171" t="s">
        <v>776</v>
      </c>
      <c r="H171" t="s" cm="1">
        <v>1450</v>
      </c>
    </row>
    <row r="172" spans="1:12" x14ac:dyDescent="0.4">
      <c r="A172" t="s">
        <v>778</v>
      </c>
      <c r="B172" t="s">
        <v>1795</v>
      </c>
      <c r="C172" t="s">
        <v>365</v>
      </c>
      <c r="D172" t="s">
        <v>366</v>
      </c>
      <c r="E172" t="s">
        <v>367</v>
      </c>
      <c r="F172" t="s">
        <v>368</v>
      </c>
      <c r="G172" t="s">
        <v>779</v>
      </c>
      <c r="H172" t="s" cm="1">
        <v>1450</v>
      </c>
    </row>
    <row r="173" spans="1:12" x14ac:dyDescent="0.4">
      <c r="A173" t="s">
        <v>780</v>
      </c>
      <c r="B173" t="s">
        <v>1669</v>
      </c>
      <c r="C173" t="s">
        <v>781</v>
      </c>
      <c r="D173" t="s">
        <v>782</v>
      </c>
      <c r="E173" t="s">
        <v>783</v>
      </c>
      <c r="F173" t="s">
        <v>784</v>
      </c>
      <c r="G173" t="s">
        <v>785</v>
      </c>
      <c r="H173" t="s">
        <v>1455</v>
      </c>
      <c r="K173" t="s">
        <v>295</v>
      </c>
      <c r="L173" t="s">
        <v>786</v>
      </c>
    </row>
    <row r="174" spans="1:12" x14ac:dyDescent="0.4">
      <c r="A174" t="s">
        <v>787</v>
      </c>
      <c r="B174" t="s">
        <v>1756</v>
      </c>
      <c r="C174" t="s">
        <v>17</v>
      </c>
      <c r="D174" t="s">
        <v>134</v>
      </c>
      <c r="E174" t="s">
        <v>135</v>
      </c>
      <c r="F174" t="s">
        <v>136</v>
      </c>
      <c r="G174" t="s">
        <v>788</v>
      </c>
      <c r="H174" t="s" cm="1">
        <v>1451</v>
      </c>
      <c r="I174" t="s">
        <v>208</v>
      </c>
    </row>
    <row r="175" spans="1:12" x14ac:dyDescent="0.4">
      <c r="A175" t="s">
        <v>789</v>
      </c>
      <c r="B175" t="s">
        <v>1756</v>
      </c>
      <c r="C175" t="s">
        <v>17</v>
      </c>
      <c r="D175" t="s">
        <v>134</v>
      </c>
      <c r="E175" t="s">
        <v>135</v>
      </c>
      <c r="F175" t="s">
        <v>136</v>
      </c>
      <c r="G175" t="s">
        <v>788</v>
      </c>
      <c r="H175" t="s" cm="1">
        <v>1451</v>
      </c>
      <c r="I175" t="s">
        <v>208</v>
      </c>
    </row>
    <row r="176" spans="1:12" x14ac:dyDescent="0.4">
      <c r="A176" t="s">
        <v>790</v>
      </c>
      <c r="B176" t="s">
        <v>1782</v>
      </c>
      <c r="C176" t="s">
        <v>283</v>
      </c>
      <c r="D176" t="s">
        <v>284</v>
      </c>
      <c r="E176" t="s">
        <v>285</v>
      </c>
      <c r="F176" t="s">
        <v>286</v>
      </c>
      <c r="G176" t="s">
        <v>791</v>
      </c>
      <c r="H176" t="s" cm="1">
        <v>1452</v>
      </c>
    </row>
    <row r="177" spans="1:9" x14ac:dyDescent="0.4">
      <c r="A177" t="s">
        <v>792</v>
      </c>
      <c r="B177" t="s">
        <v>1796</v>
      </c>
      <c r="C177" t="s">
        <v>19</v>
      </c>
      <c r="D177" t="s">
        <v>530</v>
      </c>
      <c r="E177" t="s">
        <v>531</v>
      </c>
      <c r="F177" t="s">
        <v>532</v>
      </c>
      <c r="G177" t="s">
        <v>793</v>
      </c>
      <c r="H177" t="s" cm="1">
        <v>1450</v>
      </c>
    </row>
    <row r="178" spans="1:9" x14ac:dyDescent="0.4">
      <c r="A178" t="s">
        <v>794</v>
      </c>
      <c r="B178" t="s">
        <v>1757</v>
      </c>
      <c r="C178" t="s">
        <v>174</v>
      </c>
      <c r="D178" t="s">
        <v>175</v>
      </c>
      <c r="E178" t="s">
        <v>176</v>
      </c>
      <c r="F178" t="s">
        <v>177</v>
      </c>
      <c r="G178" t="s">
        <v>795</v>
      </c>
      <c r="H178" t="s" cm="1">
        <v>1453</v>
      </c>
      <c r="I178" t="s">
        <v>201</v>
      </c>
    </row>
    <row r="179" spans="1:9" x14ac:dyDescent="0.4">
      <c r="A179" t="s">
        <v>796</v>
      </c>
      <c r="B179" t="s">
        <v>1758</v>
      </c>
      <c r="C179" t="s">
        <v>277</v>
      </c>
      <c r="D179" t="s">
        <v>278</v>
      </c>
      <c r="E179" t="s">
        <v>279</v>
      </c>
      <c r="F179" t="s">
        <v>280</v>
      </c>
      <c r="G179" t="s">
        <v>797</v>
      </c>
      <c r="H179" t="s">
        <v>1455</v>
      </c>
    </row>
    <row r="180" spans="1:9" x14ac:dyDescent="0.4">
      <c r="A180" t="s">
        <v>798</v>
      </c>
      <c r="B180" t="s">
        <v>1759</v>
      </c>
      <c r="C180" t="s">
        <v>277</v>
      </c>
      <c r="D180" t="s">
        <v>278</v>
      </c>
      <c r="E180" t="s">
        <v>279</v>
      </c>
      <c r="F180" t="s">
        <v>280</v>
      </c>
      <c r="G180" t="s">
        <v>799</v>
      </c>
      <c r="H180" t="s">
        <v>1455</v>
      </c>
    </row>
    <row r="181" spans="1:9" x14ac:dyDescent="0.4">
      <c r="A181" t="s">
        <v>800</v>
      </c>
      <c r="B181" t="s">
        <v>1760</v>
      </c>
      <c r="C181" t="s">
        <v>17</v>
      </c>
      <c r="D181" t="s">
        <v>134</v>
      </c>
      <c r="E181" t="s">
        <v>135</v>
      </c>
      <c r="F181" t="s">
        <v>136</v>
      </c>
      <c r="G181" t="s">
        <v>801</v>
      </c>
      <c r="H181" t="s" cm="1">
        <v>1451</v>
      </c>
    </row>
    <row r="182" spans="1:9" x14ac:dyDescent="0.4">
      <c r="A182" t="s">
        <v>802</v>
      </c>
      <c r="B182" t="s">
        <v>1783</v>
      </c>
      <c r="C182" t="s">
        <v>283</v>
      </c>
      <c r="D182" t="s">
        <v>284</v>
      </c>
      <c r="E182" t="s">
        <v>285</v>
      </c>
      <c r="F182" t="s">
        <v>286</v>
      </c>
      <c r="G182" t="s">
        <v>803</v>
      </c>
      <c r="H182" t="s" cm="1">
        <v>1452</v>
      </c>
    </row>
    <row r="183" spans="1:9" x14ac:dyDescent="0.4">
      <c r="A183" t="s">
        <v>804</v>
      </c>
      <c r="B183" t="s">
        <v>1670</v>
      </c>
      <c r="C183" t="s">
        <v>98</v>
      </c>
      <c r="D183" t="s">
        <v>299</v>
      </c>
      <c r="E183" t="s">
        <v>300</v>
      </c>
      <c r="F183" t="s">
        <v>301</v>
      </c>
      <c r="G183" t="s">
        <v>805</v>
      </c>
      <c r="H183" t="s" cm="1">
        <v>101</v>
      </c>
    </row>
    <row r="184" spans="1:9" x14ac:dyDescent="0.4">
      <c r="A184" t="s">
        <v>806</v>
      </c>
      <c r="B184" t="s">
        <v>1761</v>
      </c>
      <c r="C184" t="s">
        <v>807</v>
      </c>
      <c r="D184" t="s">
        <v>808</v>
      </c>
      <c r="E184" t="s">
        <v>809</v>
      </c>
      <c r="F184" t="s">
        <v>810</v>
      </c>
      <c r="G184" t="s">
        <v>811</v>
      </c>
      <c r="H184" t="s" cm="1">
        <v>1452</v>
      </c>
    </row>
    <row r="185" spans="1:9" x14ac:dyDescent="0.4">
      <c r="A185" t="s">
        <v>812</v>
      </c>
      <c r="B185" t="s">
        <v>1762</v>
      </c>
      <c r="C185" t="s">
        <v>277</v>
      </c>
      <c r="D185" t="s">
        <v>278</v>
      </c>
      <c r="E185" t="s">
        <v>279</v>
      </c>
      <c r="F185" t="s">
        <v>280</v>
      </c>
      <c r="G185" t="s">
        <v>813</v>
      </c>
      <c r="H185" t="s">
        <v>1455</v>
      </c>
    </row>
    <row r="186" spans="1:9" x14ac:dyDescent="0.4">
      <c r="A186" t="s">
        <v>814</v>
      </c>
      <c r="B186" t="s">
        <v>1671</v>
      </c>
      <c r="C186" t="s">
        <v>815</v>
      </c>
      <c r="D186" t="s">
        <v>816</v>
      </c>
      <c r="E186" t="s">
        <v>817</v>
      </c>
      <c r="F186" t="s">
        <v>818</v>
      </c>
      <c r="G186" t="s">
        <v>819</v>
      </c>
      <c r="H186" t="s" cm="1">
        <v>1452</v>
      </c>
    </row>
    <row r="187" spans="1:9" x14ac:dyDescent="0.4">
      <c r="A187" t="s">
        <v>820</v>
      </c>
      <c r="B187" t="s">
        <v>1775</v>
      </c>
      <c r="C187" t="s">
        <v>698</v>
      </c>
      <c r="D187" t="s">
        <v>699</v>
      </c>
      <c r="E187" t="s">
        <v>700</v>
      </c>
      <c r="F187" t="s">
        <v>317</v>
      </c>
      <c r="G187" t="s">
        <v>821</v>
      </c>
      <c r="H187" t="s" cm="1">
        <v>1454</v>
      </c>
    </row>
    <row r="188" spans="1:9" x14ac:dyDescent="0.4">
      <c r="A188" t="s">
        <v>822</v>
      </c>
      <c r="B188" t="s">
        <v>1775</v>
      </c>
      <c r="C188" t="s">
        <v>314</v>
      </c>
      <c r="D188" t="s">
        <v>315</v>
      </c>
      <c r="E188" t="s">
        <v>316</v>
      </c>
      <c r="F188" t="s">
        <v>317</v>
      </c>
      <c r="G188" t="s">
        <v>821</v>
      </c>
      <c r="H188" t="s" cm="1">
        <v>1454</v>
      </c>
    </row>
    <row r="189" spans="1:9" x14ac:dyDescent="0.4">
      <c r="A189" t="s">
        <v>823</v>
      </c>
      <c r="B189" t="s">
        <v>1775</v>
      </c>
      <c r="C189" t="s">
        <v>595</v>
      </c>
      <c r="D189" t="s">
        <v>596</v>
      </c>
      <c r="E189" t="s">
        <v>597</v>
      </c>
      <c r="F189" t="s">
        <v>317</v>
      </c>
      <c r="G189" t="s">
        <v>821</v>
      </c>
      <c r="H189" t="s" cm="1">
        <v>1454</v>
      </c>
    </row>
    <row r="190" spans="1:9" x14ac:dyDescent="0.4">
      <c r="A190" t="s">
        <v>824</v>
      </c>
      <c r="B190" t="s">
        <v>1775</v>
      </c>
      <c r="C190" t="s">
        <v>825</v>
      </c>
      <c r="D190" t="s">
        <v>826</v>
      </c>
      <c r="E190" t="s">
        <v>827</v>
      </c>
      <c r="F190" t="s">
        <v>317</v>
      </c>
      <c r="G190" t="s">
        <v>821</v>
      </c>
      <c r="H190" t="s" cm="1">
        <v>1454</v>
      </c>
    </row>
    <row r="191" spans="1:9" x14ac:dyDescent="0.4">
      <c r="A191" t="s">
        <v>828</v>
      </c>
      <c r="B191" t="s">
        <v>1763</v>
      </c>
      <c r="C191" t="s">
        <v>277</v>
      </c>
      <c r="D191" t="s">
        <v>278</v>
      </c>
      <c r="E191" t="s">
        <v>279</v>
      </c>
      <c r="F191" t="s">
        <v>280</v>
      </c>
      <c r="G191" t="s">
        <v>829</v>
      </c>
      <c r="H191" t="s">
        <v>1455</v>
      </c>
    </row>
    <row r="192" spans="1:9" x14ac:dyDescent="0.4">
      <c r="A192" t="s">
        <v>830</v>
      </c>
      <c r="B192" t="s">
        <v>1764</v>
      </c>
      <c r="C192" t="s">
        <v>17</v>
      </c>
      <c r="D192" t="s">
        <v>134</v>
      </c>
      <c r="E192" t="s">
        <v>135</v>
      </c>
      <c r="F192" t="s">
        <v>136</v>
      </c>
      <c r="G192" t="s">
        <v>831</v>
      </c>
      <c r="H192" t="s" cm="1">
        <v>1451</v>
      </c>
      <c r="I192" t="s">
        <v>201</v>
      </c>
    </row>
    <row r="193" spans="1:9" x14ac:dyDescent="0.4">
      <c r="A193" t="s">
        <v>832</v>
      </c>
      <c r="B193" t="s">
        <v>1765</v>
      </c>
      <c r="C193" t="s">
        <v>146</v>
      </c>
      <c r="D193" t="s">
        <v>147</v>
      </c>
      <c r="E193" t="s">
        <v>148</v>
      </c>
      <c r="F193" t="s">
        <v>149</v>
      </c>
      <c r="G193" t="s">
        <v>833</v>
      </c>
      <c r="H193" t="s" cm="1">
        <v>1452</v>
      </c>
    </row>
    <row r="194" spans="1:9" x14ac:dyDescent="0.4">
      <c r="A194" t="s">
        <v>834</v>
      </c>
      <c r="B194" t="s">
        <v>1797</v>
      </c>
      <c r="C194" t="s">
        <v>94</v>
      </c>
      <c r="D194" t="s">
        <v>229</v>
      </c>
      <c r="E194" t="s">
        <v>230</v>
      </c>
      <c r="F194" t="s">
        <v>231</v>
      </c>
      <c r="G194" t="s">
        <v>835</v>
      </c>
      <c r="H194" t="s" cm="1">
        <v>1450</v>
      </c>
    </row>
    <row r="195" spans="1:9" x14ac:dyDescent="0.4">
      <c r="A195" t="s">
        <v>836</v>
      </c>
      <c r="B195" t="s">
        <v>1806</v>
      </c>
      <c r="C195" t="s">
        <v>837</v>
      </c>
      <c r="D195" t="s">
        <v>838</v>
      </c>
      <c r="E195" t="s">
        <v>839</v>
      </c>
      <c r="F195" t="s">
        <v>840</v>
      </c>
      <c r="G195" t="s">
        <v>841</v>
      </c>
      <c r="H195" t="s">
        <v>1455</v>
      </c>
    </row>
    <row r="196" spans="1:9" x14ac:dyDescent="0.4">
      <c r="A196" t="s">
        <v>842</v>
      </c>
      <c r="B196" t="s">
        <v>1766</v>
      </c>
      <c r="C196" t="s">
        <v>174</v>
      </c>
      <c r="D196" t="s">
        <v>175</v>
      </c>
      <c r="E196" t="s">
        <v>176</v>
      </c>
      <c r="F196" t="s">
        <v>177</v>
      </c>
      <c r="G196" t="s">
        <v>843</v>
      </c>
      <c r="H196" t="s" cm="1">
        <v>1453</v>
      </c>
      <c r="I196" t="s">
        <v>201</v>
      </c>
    </row>
    <row r="197" spans="1:9" x14ac:dyDescent="0.4">
      <c r="A197" t="s">
        <v>844</v>
      </c>
      <c r="B197" t="s">
        <v>1798</v>
      </c>
      <c r="C197" t="s">
        <v>19</v>
      </c>
      <c r="D197" t="s">
        <v>530</v>
      </c>
      <c r="E197" t="s">
        <v>531</v>
      </c>
      <c r="F197" t="s">
        <v>532</v>
      </c>
      <c r="G197" t="s">
        <v>845</v>
      </c>
      <c r="H197" t="s" cm="1">
        <v>1450</v>
      </c>
    </row>
    <row r="198" spans="1:9" x14ac:dyDescent="0.4">
      <c r="A198" t="s">
        <v>846</v>
      </c>
      <c r="B198" t="s">
        <v>1799</v>
      </c>
      <c r="C198" t="s">
        <v>19</v>
      </c>
      <c r="D198" t="s">
        <v>530</v>
      </c>
      <c r="E198" t="s">
        <v>531</v>
      </c>
      <c r="F198" t="s">
        <v>532</v>
      </c>
      <c r="G198" t="s">
        <v>847</v>
      </c>
      <c r="H198" t="s" cm="1">
        <v>1450</v>
      </c>
    </row>
    <row r="199" spans="1:9" x14ac:dyDescent="0.4">
      <c r="A199" t="s">
        <v>848</v>
      </c>
      <c r="B199" t="s">
        <v>1784</v>
      </c>
      <c r="C199" t="s">
        <v>160</v>
      </c>
      <c r="D199" t="s">
        <v>161</v>
      </c>
      <c r="E199" t="s">
        <v>162</v>
      </c>
      <c r="F199" t="s">
        <v>163</v>
      </c>
      <c r="G199" t="s">
        <v>849</v>
      </c>
      <c r="H199" t="s">
        <v>1455</v>
      </c>
      <c r="I199" t="s">
        <v>850</v>
      </c>
    </row>
    <row r="200" spans="1:9" x14ac:dyDescent="0.4">
      <c r="A200" t="s">
        <v>851</v>
      </c>
      <c r="B200" t="s">
        <v>1767</v>
      </c>
      <c r="C200" t="s">
        <v>174</v>
      </c>
      <c r="D200" t="s">
        <v>175</v>
      </c>
      <c r="E200" t="s">
        <v>176</v>
      </c>
      <c r="F200" t="s">
        <v>177</v>
      </c>
      <c r="G200" t="s">
        <v>852</v>
      </c>
      <c r="H200" t="s" cm="1">
        <v>1453</v>
      </c>
      <c r="I200" t="s">
        <v>357</v>
      </c>
    </row>
    <row r="201" spans="1:9" x14ac:dyDescent="0.4">
      <c r="A201" t="s">
        <v>853</v>
      </c>
      <c r="B201" t="s">
        <v>1785</v>
      </c>
      <c r="C201" t="s">
        <v>283</v>
      </c>
      <c r="D201" t="s">
        <v>284</v>
      </c>
      <c r="E201" t="s">
        <v>285</v>
      </c>
      <c r="F201" t="s">
        <v>286</v>
      </c>
      <c r="G201" t="s">
        <v>854</v>
      </c>
      <c r="H201" t="s" cm="1">
        <v>1452</v>
      </c>
    </row>
    <row r="202" spans="1:9" x14ac:dyDescent="0.4">
      <c r="A202" t="s">
        <v>855</v>
      </c>
      <c r="B202" t="s">
        <v>1768</v>
      </c>
      <c r="C202" t="s">
        <v>174</v>
      </c>
      <c r="D202" t="s">
        <v>175</v>
      </c>
      <c r="E202" t="s">
        <v>176</v>
      </c>
      <c r="F202" t="s">
        <v>177</v>
      </c>
      <c r="G202" t="s">
        <v>856</v>
      </c>
      <c r="H202" t="s" cm="1">
        <v>1453</v>
      </c>
      <c r="I202" t="s">
        <v>201</v>
      </c>
    </row>
    <row r="203" spans="1:9" x14ac:dyDescent="0.4">
      <c r="A203" t="s">
        <v>857</v>
      </c>
      <c r="B203" t="s">
        <v>1786</v>
      </c>
      <c r="C203" t="s">
        <v>283</v>
      </c>
      <c r="D203" t="s">
        <v>284</v>
      </c>
      <c r="E203" t="s">
        <v>285</v>
      </c>
      <c r="F203" t="s">
        <v>286</v>
      </c>
      <c r="G203" t="s">
        <v>858</v>
      </c>
      <c r="H203" t="s" cm="1">
        <v>1452</v>
      </c>
    </row>
    <row r="204" spans="1:9" x14ac:dyDescent="0.4">
      <c r="A204" t="s">
        <v>859</v>
      </c>
      <c r="B204" t="s">
        <v>1787</v>
      </c>
      <c r="C204" t="s">
        <v>860</v>
      </c>
      <c r="D204" t="s">
        <v>861</v>
      </c>
      <c r="E204" t="s">
        <v>862</v>
      </c>
      <c r="F204" t="s">
        <v>466</v>
      </c>
      <c r="G204" t="s">
        <v>863</v>
      </c>
      <c r="H204" t="s">
        <v>1455</v>
      </c>
    </row>
    <row r="205" spans="1:9" x14ac:dyDescent="0.4">
      <c r="A205" t="s">
        <v>864</v>
      </c>
      <c r="B205" t="s">
        <v>1776</v>
      </c>
      <c r="C205" t="s">
        <v>344</v>
      </c>
      <c r="D205" t="s">
        <v>345</v>
      </c>
      <c r="E205" t="s">
        <v>346</v>
      </c>
      <c r="F205" t="s">
        <v>347</v>
      </c>
      <c r="G205" t="s">
        <v>865</v>
      </c>
      <c r="H205" t="s" cm="1">
        <v>1452</v>
      </c>
    </row>
    <row r="206" spans="1:9" x14ac:dyDescent="0.4">
      <c r="A206" t="s">
        <v>866</v>
      </c>
      <c r="B206" t="s">
        <v>1800</v>
      </c>
      <c r="C206" t="s">
        <v>93</v>
      </c>
      <c r="D206" t="s">
        <v>412</v>
      </c>
      <c r="E206" t="s">
        <v>413</v>
      </c>
      <c r="F206" t="s">
        <v>414</v>
      </c>
      <c r="G206" t="s">
        <v>867</v>
      </c>
      <c r="H206" t="s" cm="1">
        <v>1450</v>
      </c>
      <c r="I206" t="s">
        <v>868</v>
      </c>
    </row>
    <row r="207" spans="1:9" x14ac:dyDescent="0.4">
      <c r="A207" t="s">
        <v>869</v>
      </c>
      <c r="B207" t="s">
        <v>1769</v>
      </c>
      <c r="C207" t="s">
        <v>146</v>
      </c>
      <c r="D207" t="s">
        <v>147</v>
      </c>
      <c r="E207" t="s">
        <v>148</v>
      </c>
      <c r="F207" t="s">
        <v>149</v>
      </c>
      <c r="G207" t="s">
        <v>870</v>
      </c>
      <c r="H207" t="s" cm="1">
        <v>1452</v>
      </c>
    </row>
    <row r="208" spans="1:9" x14ac:dyDescent="0.4">
      <c r="A208" t="s">
        <v>871</v>
      </c>
      <c r="B208" t="s">
        <v>1801</v>
      </c>
      <c r="C208" t="s">
        <v>365</v>
      </c>
      <c r="D208" t="s">
        <v>366</v>
      </c>
      <c r="E208" t="s">
        <v>367</v>
      </c>
      <c r="F208" t="s">
        <v>368</v>
      </c>
      <c r="G208" t="s">
        <v>872</v>
      </c>
      <c r="H208" t="s" cm="1">
        <v>1450</v>
      </c>
    </row>
    <row r="209" spans="1:10" x14ac:dyDescent="0.4">
      <c r="A209" t="s">
        <v>873</v>
      </c>
      <c r="B209" t="s">
        <v>1777</v>
      </c>
      <c r="C209" t="s">
        <v>874</v>
      </c>
      <c r="D209" t="s">
        <v>875</v>
      </c>
      <c r="E209" t="s">
        <v>876</v>
      </c>
      <c r="F209" t="s">
        <v>877</v>
      </c>
      <c r="G209" t="s">
        <v>878</v>
      </c>
      <c r="H209" t="s">
        <v>1455</v>
      </c>
    </row>
    <row r="210" spans="1:10" x14ac:dyDescent="0.4">
      <c r="A210" t="s">
        <v>879</v>
      </c>
      <c r="B210" t="s">
        <v>1802</v>
      </c>
      <c r="C210" t="s">
        <v>93</v>
      </c>
      <c r="D210" t="s">
        <v>412</v>
      </c>
      <c r="E210" t="s">
        <v>413</v>
      </c>
      <c r="F210" t="s">
        <v>414</v>
      </c>
      <c r="G210" t="s">
        <v>880</v>
      </c>
      <c r="H210" t="s" cm="1">
        <v>1450</v>
      </c>
    </row>
    <row r="211" spans="1:10" x14ac:dyDescent="0.4">
      <c r="A211" t="s">
        <v>881</v>
      </c>
      <c r="B211" t="s">
        <v>1788</v>
      </c>
      <c r="C211" t="s">
        <v>283</v>
      </c>
      <c r="D211" t="s">
        <v>284</v>
      </c>
      <c r="E211" t="s">
        <v>285</v>
      </c>
      <c r="F211" t="s">
        <v>286</v>
      </c>
      <c r="G211" t="s">
        <v>882</v>
      </c>
      <c r="H211" t="s" cm="1">
        <v>1452</v>
      </c>
    </row>
    <row r="212" spans="1:10" x14ac:dyDescent="0.4">
      <c r="A212" t="s">
        <v>883</v>
      </c>
      <c r="B212" t="s">
        <v>1665</v>
      </c>
      <c r="C212" t="s">
        <v>96</v>
      </c>
      <c r="D212" t="s">
        <v>884</v>
      </c>
      <c r="E212" t="s">
        <v>885</v>
      </c>
      <c r="F212" t="s">
        <v>886</v>
      </c>
      <c r="G212" t="s">
        <v>887</v>
      </c>
      <c r="H212" t="s" cm="1">
        <v>101</v>
      </c>
      <c r="I212" t="s">
        <v>295</v>
      </c>
      <c r="J212" t="s">
        <v>888</v>
      </c>
    </row>
    <row r="213" spans="1:10" x14ac:dyDescent="0.4">
      <c r="A213" t="s">
        <v>889</v>
      </c>
      <c r="B213" t="s">
        <v>1803</v>
      </c>
      <c r="C213" t="s">
        <v>93</v>
      </c>
      <c r="D213" t="s">
        <v>412</v>
      </c>
      <c r="E213" t="s">
        <v>413</v>
      </c>
      <c r="F213" t="s">
        <v>414</v>
      </c>
      <c r="G213" t="s">
        <v>890</v>
      </c>
      <c r="H213" t="s" cm="1">
        <v>1450</v>
      </c>
    </row>
    <row r="214" spans="1:10" x14ac:dyDescent="0.4">
      <c r="A214" t="s">
        <v>891</v>
      </c>
      <c r="B214" t="s">
        <v>1770</v>
      </c>
      <c r="C214" t="s">
        <v>17</v>
      </c>
      <c r="D214" t="s">
        <v>134</v>
      </c>
      <c r="E214" t="s">
        <v>135</v>
      </c>
      <c r="F214" t="s">
        <v>136</v>
      </c>
      <c r="G214" t="s">
        <v>892</v>
      </c>
      <c r="H214" t="s" cm="1">
        <v>1451</v>
      </c>
      <c r="I214" t="s">
        <v>208</v>
      </c>
    </row>
    <row r="215" spans="1:10" x14ac:dyDescent="0.4">
      <c r="A215" t="s">
        <v>893</v>
      </c>
      <c r="B215" t="s">
        <v>1484</v>
      </c>
      <c r="C215" t="s">
        <v>595</v>
      </c>
      <c r="D215" t="s">
        <v>596</v>
      </c>
      <c r="E215" t="s">
        <v>597</v>
      </c>
      <c r="F215" t="s">
        <v>317</v>
      </c>
      <c r="G215" t="s">
        <v>894</v>
      </c>
      <c r="H215" t="s" cm="1">
        <v>1454</v>
      </c>
    </row>
    <row r="216" spans="1:10" x14ac:dyDescent="0.4">
      <c r="A216" t="s">
        <v>895</v>
      </c>
      <c r="B216" t="s">
        <v>1485</v>
      </c>
      <c r="C216" t="s">
        <v>860</v>
      </c>
      <c r="D216" t="s">
        <v>861</v>
      </c>
      <c r="E216" t="s">
        <v>862</v>
      </c>
      <c r="F216" t="s">
        <v>466</v>
      </c>
      <c r="G216" t="s">
        <v>896</v>
      </c>
      <c r="H216" t="s">
        <v>1455</v>
      </c>
    </row>
    <row r="217" spans="1:10" x14ac:dyDescent="0.4">
      <c r="A217" t="s">
        <v>897</v>
      </c>
      <c r="B217" t="s">
        <v>1578</v>
      </c>
      <c r="C217" t="s">
        <v>350</v>
      </c>
      <c r="D217" t="s">
        <v>351</v>
      </c>
      <c r="E217" t="s">
        <v>352</v>
      </c>
      <c r="F217" t="s">
        <v>353</v>
      </c>
      <c r="G217" t="s">
        <v>898</v>
      </c>
      <c r="H217" t="s" cm="1">
        <v>1452</v>
      </c>
    </row>
    <row r="218" spans="1:10" x14ac:dyDescent="0.4">
      <c r="A218" t="s">
        <v>899</v>
      </c>
      <c r="B218" t="s">
        <v>1603</v>
      </c>
      <c r="C218" t="s">
        <v>174</v>
      </c>
      <c r="D218" t="s">
        <v>175</v>
      </c>
      <c r="E218" t="s">
        <v>176</v>
      </c>
      <c r="F218" t="s">
        <v>177</v>
      </c>
      <c r="G218" t="s">
        <v>900</v>
      </c>
      <c r="H218" t="s" cm="1">
        <v>1453</v>
      </c>
    </row>
    <row r="219" spans="1:10" x14ac:dyDescent="0.4">
      <c r="A219" t="s">
        <v>901</v>
      </c>
      <c r="B219" t="s">
        <v>1486</v>
      </c>
      <c r="C219" t="s">
        <v>902</v>
      </c>
      <c r="D219" t="s">
        <v>903</v>
      </c>
      <c r="E219" t="s">
        <v>904</v>
      </c>
      <c r="F219" t="s">
        <v>905</v>
      </c>
      <c r="G219" t="s">
        <v>906</v>
      </c>
      <c r="H219" t="s">
        <v>1455</v>
      </c>
    </row>
    <row r="220" spans="1:10" x14ac:dyDescent="0.4">
      <c r="A220" t="s">
        <v>907</v>
      </c>
      <c r="B220" t="s">
        <v>1487</v>
      </c>
      <c r="C220" t="s">
        <v>908</v>
      </c>
      <c r="D220" t="s">
        <v>909</v>
      </c>
      <c r="E220" t="s">
        <v>910</v>
      </c>
      <c r="F220" t="s">
        <v>911</v>
      </c>
      <c r="G220" t="s">
        <v>912</v>
      </c>
      <c r="H220" t="s">
        <v>1455</v>
      </c>
    </row>
    <row r="221" spans="1:10" x14ac:dyDescent="0.4">
      <c r="A221" t="s">
        <v>913</v>
      </c>
      <c r="B221" t="s">
        <v>1488</v>
      </c>
      <c r="C221" t="s">
        <v>914</v>
      </c>
      <c r="D221" t="s">
        <v>915</v>
      </c>
      <c r="E221" t="s">
        <v>916</v>
      </c>
      <c r="F221" t="s">
        <v>917</v>
      </c>
      <c r="G221" t="s">
        <v>918</v>
      </c>
      <c r="H221" t="s">
        <v>1455</v>
      </c>
    </row>
    <row r="222" spans="1:10" x14ac:dyDescent="0.4">
      <c r="A222" t="s">
        <v>919</v>
      </c>
      <c r="B222" t="s">
        <v>1604</v>
      </c>
      <c r="C222" t="s">
        <v>174</v>
      </c>
      <c r="D222" t="s">
        <v>175</v>
      </c>
      <c r="E222" t="s">
        <v>176</v>
      </c>
      <c r="F222" t="s">
        <v>177</v>
      </c>
      <c r="G222" t="s">
        <v>920</v>
      </c>
      <c r="H222" t="s" cm="1">
        <v>1453</v>
      </c>
    </row>
    <row r="223" spans="1:10" x14ac:dyDescent="0.4">
      <c r="A223" t="s">
        <v>921</v>
      </c>
      <c r="B223" t="s">
        <v>1579</v>
      </c>
      <c r="C223" t="s">
        <v>344</v>
      </c>
      <c r="D223" t="s">
        <v>345</v>
      </c>
      <c r="E223" t="s">
        <v>346</v>
      </c>
      <c r="F223" t="s">
        <v>347</v>
      </c>
      <c r="G223" t="s">
        <v>922</v>
      </c>
      <c r="H223" t="s" cm="1">
        <v>1452</v>
      </c>
    </row>
    <row r="224" spans="1:10" x14ac:dyDescent="0.4">
      <c r="A224" t="s">
        <v>923</v>
      </c>
      <c r="B224" t="s">
        <v>1579</v>
      </c>
      <c r="C224" t="s">
        <v>344</v>
      </c>
      <c r="D224" t="s">
        <v>345</v>
      </c>
      <c r="E224" t="s">
        <v>346</v>
      </c>
      <c r="F224" t="s">
        <v>347</v>
      </c>
      <c r="G224" t="s">
        <v>922</v>
      </c>
      <c r="H224" t="s" cm="1">
        <v>1452</v>
      </c>
    </row>
    <row r="225" spans="1:10" x14ac:dyDescent="0.4">
      <c r="A225" t="s">
        <v>924</v>
      </c>
      <c r="B225" t="s">
        <v>1579</v>
      </c>
      <c r="C225" t="s">
        <v>344</v>
      </c>
      <c r="D225" t="s">
        <v>345</v>
      </c>
      <c r="E225" t="s">
        <v>346</v>
      </c>
      <c r="F225" t="s">
        <v>347</v>
      </c>
      <c r="G225" t="s">
        <v>922</v>
      </c>
      <c r="H225" t="s" cm="1">
        <v>1452</v>
      </c>
    </row>
    <row r="226" spans="1:10" x14ac:dyDescent="0.4">
      <c r="A226" t="s">
        <v>925</v>
      </c>
      <c r="B226" t="s">
        <v>1489</v>
      </c>
      <c r="C226" t="s">
        <v>926</v>
      </c>
      <c r="D226" t="s">
        <v>927</v>
      </c>
      <c r="E226" t="s">
        <v>928</v>
      </c>
      <c r="F226" t="s">
        <v>929</v>
      </c>
      <c r="G226" t="s">
        <v>930</v>
      </c>
      <c r="H226" t="s">
        <v>1455</v>
      </c>
      <c r="I226" t="s">
        <v>931</v>
      </c>
    </row>
    <row r="227" spans="1:10" x14ac:dyDescent="0.4">
      <c r="A227" t="s">
        <v>932</v>
      </c>
      <c r="B227" t="s">
        <v>1605</v>
      </c>
      <c r="C227" t="s">
        <v>174</v>
      </c>
      <c r="D227" t="s">
        <v>175</v>
      </c>
      <c r="E227" t="s">
        <v>176</v>
      </c>
      <c r="F227" t="s">
        <v>177</v>
      </c>
      <c r="G227" t="s">
        <v>933</v>
      </c>
      <c r="H227" t="s" cm="1">
        <v>1453</v>
      </c>
    </row>
    <row r="228" spans="1:10" x14ac:dyDescent="0.4">
      <c r="A228" t="s">
        <v>934</v>
      </c>
      <c r="B228" t="s">
        <v>1606</v>
      </c>
      <c r="C228" t="s">
        <v>174</v>
      </c>
      <c r="D228" t="s">
        <v>175</v>
      </c>
      <c r="E228" t="s">
        <v>176</v>
      </c>
      <c r="F228" t="s">
        <v>177</v>
      </c>
      <c r="G228" t="s">
        <v>935</v>
      </c>
      <c r="H228" t="s" cm="1">
        <v>1453</v>
      </c>
    </row>
    <row r="229" spans="1:10" x14ac:dyDescent="0.4">
      <c r="A229" t="s">
        <v>936</v>
      </c>
      <c r="B229" t="s">
        <v>1490</v>
      </c>
      <c r="C229" t="s">
        <v>216</v>
      </c>
      <c r="D229" t="s">
        <v>217</v>
      </c>
      <c r="E229" t="s">
        <v>218</v>
      </c>
      <c r="F229" t="s">
        <v>219</v>
      </c>
      <c r="G229" t="s">
        <v>937</v>
      </c>
      <c r="H229" t="s">
        <v>1455</v>
      </c>
      <c r="I229" t="s">
        <v>938</v>
      </c>
      <c r="J229" t="s">
        <v>939</v>
      </c>
    </row>
    <row r="230" spans="1:10" x14ac:dyDescent="0.4">
      <c r="A230" t="s">
        <v>940</v>
      </c>
      <c r="B230" t="s">
        <v>1491</v>
      </c>
      <c r="C230" t="s">
        <v>698</v>
      </c>
      <c r="D230" t="s">
        <v>699</v>
      </c>
      <c r="E230" t="s">
        <v>700</v>
      </c>
      <c r="F230" t="s">
        <v>317</v>
      </c>
      <c r="G230" t="s">
        <v>941</v>
      </c>
      <c r="H230" t="s" cm="1">
        <v>1454</v>
      </c>
    </row>
    <row r="231" spans="1:10" x14ac:dyDescent="0.4">
      <c r="A231" t="s">
        <v>942</v>
      </c>
      <c r="B231" t="s">
        <v>1492</v>
      </c>
      <c r="C231" t="s">
        <v>140</v>
      </c>
      <c r="D231" t="s">
        <v>141</v>
      </c>
      <c r="E231" t="s">
        <v>142</v>
      </c>
      <c r="F231" t="s">
        <v>143</v>
      </c>
      <c r="G231" t="s">
        <v>943</v>
      </c>
      <c r="H231" t="s">
        <v>1455</v>
      </c>
    </row>
    <row r="232" spans="1:10" x14ac:dyDescent="0.4">
      <c r="A232" t="s">
        <v>944</v>
      </c>
      <c r="B232" t="s">
        <v>1493</v>
      </c>
      <c r="C232" t="s">
        <v>94</v>
      </c>
      <c r="D232" t="s">
        <v>229</v>
      </c>
      <c r="E232" t="s">
        <v>230</v>
      </c>
      <c r="F232" t="s">
        <v>231</v>
      </c>
      <c r="G232" t="s">
        <v>945</v>
      </c>
      <c r="H232" t="s" cm="1">
        <v>1450</v>
      </c>
    </row>
    <row r="233" spans="1:10" x14ac:dyDescent="0.4">
      <c r="A233" t="s">
        <v>946</v>
      </c>
      <c r="B233" t="s">
        <v>1494</v>
      </c>
      <c r="C233" t="s">
        <v>480</v>
      </c>
      <c r="D233" t="s">
        <v>481</v>
      </c>
      <c r="E233" t="s">
        <v>482</v>
      </c>
      <c r="F233" t="s">
        <v>317</v>
      </c>
      <c r="G233" t="s">
        <v>947</v>
      </c>
      <c r="H233" t="s" cm="1">
        <v>1454</v>
      </c>
    </row>
    <row r="234" spans="1:10" x14ac:dyDescent="0.4">
      <c r="A234" t="s">
        <v>948</v>
      </c>
      <c r="B234" t="s">
        <v>1495</v>
      </c>
      <c r="C234" t="s">
        <v>949</v>
      </c>
      <c r="D234" t="s">
        <v>950</v>
      </c>
      <c r="E234" t="s">
        <v>951</v>
      </c>
      <c r="F234" t="s">
        <v>952</v>
      </c>
      <c r="G234" t="s">
        <v>953</v>
      </c>
      <c r="H234" t="s">
        <v>1455</v>
      </c>
    </row>
    <row r="235" spans="1:10" x14ac:dyDescent="0.4">
      <c r="A235" t="s">
        <v>954</v>
      </c>
      <c r="B235" t="s">
        <v>1496</v>
      </c>
      <c r="C235" t="s">
        <v>19</v>
      </c>
      <c r="D235" t="s">
        <v>530</v>
      </c>
      <c r="E235" t="s">
        <v>531</v>
      </c>
      <c r="F235" t="s">
        <v>532</v>
      </c>
      <c r="G235" t="s">
        <v>955</v>
      </c>
      <c r="H235" t="s" cm="1">
        <v>1450</v>
      </c>
    </row>
    <row r="236" spans="1:10" x14ac:dyDescent="0.4">
      <c r="A236" t="s">
        <v>956</v>
      </c>
      <c r="B236" t="s">
        <v>1497</v>
      </c>
      <c r="C236" t="s">
        <v>19</v>
      </c>
      <c r="D236" t="s">
        <v>530</v>
      </c>
      <c r="E236" t="s">
        <v>531</v>
      </c>
      <c r="F236" t="s">
        <v>532</v>
      </c>
      <c r="G236" t="s">
        <v>957</v>
      </c>
      <c r="H236" t="s" cm="1">
        <v>1450</v>
      </c>
    </row>
    <row r="237" spans="1:10" x14ac:dyDescent="0.4">
      <c r="A237" t="s">
        <v>958</v>
      </c>
      <c r="B237" t="s">
        <v>1607</v>
      </c>
      <c r="C237" t="s">
        <v>174</v>
      </c>
      <c r="D237" t="s">
        <v>175</v>
      </c>
      <c r="E237" t="s">
        <v>176</v>
      </c>
      <c r="F237" t="s">
        <v>177</v>
      </c>
      <c r="G237" t="s">
        <v>959</v>
      </c>
      <c r="H237" t="s" cm="1">
        <v>1453</v>
      </c>
    </row>
    <row r="238" spans="1:10" x14ac:dyDescent="0.4">
      <c r="A238" t="s">
        <v>960</v>
      </c>
      <c r="B238" t="s">
        <v>1608</v>
      </c>
      <c r="C238" t="s">
        <v>17</v>
      </c>
      <c r="D238" t="s">
        <v>134</v>
      </c>
      <c r="E238" t="s">
        <v>135</v>
      </c>
      <c r="F238" t="s">
        <v>136</v>
      </c>
      <c r="G238" t="s">
        <v>961</v>
      </c>
      <c r="H238" t="s" cm="1">
        <v>1451</v>
      </c>
      <c r="I238" t="s">
        <v>138</v>
      </c>
      <c r="J238" t="s">
        <v>561</v>
      </c>
    </row>
    <row r="239" spans="1:10" x14ac:dyDescent="0.4">
      <c r="A239" t="s">
        <v>962</v>
      </c>
      <c r="B239" t="s">
        <v>1609</v>
      </c>
      <c r="C239" t="s">
        <v>17</v>
      </c>
      <c r="D239" t="s">
        <v>134</v>
      </c>
      <c r="E239" t="s">
        <v>135</v>
      </c>
      <c r="F239" t="s">
        <v>136</v>
      </c>
      <c r="G239" t="s">
        <v>963</v>
      </c>
      <c r="H239" t="s" cm="1">
        <v>1451</v>
      </c>
      <c r="I239" t="s">
        <v>363</v>
      </c>
    </row>
    <row r="240" spans="1:10" x14ac:dyDescent="0.4">
      <c r="A240" t="s">
        <v>964</v>
      </c>
      <c r="B240" t="s">
        <v>1498</v>
      </c>
      <c r="C240" t="s">
        <v>965</v>
      </c>
      <c r="D240" t="s">
        <v>966</v>
      </c>
      <c r="E240" t="s">
        <v>967</v>
      </c>
      <c r="F240" t="s">
        <v>917</v>
      </c>
      <c r="G240" t="s">
        <v>968</v>
      </c>
      <c r="H240" t="s">
        <v>1455</v>
      </c>
    </row>
    <row r="241" spans="1:13" x14ac:dyDescent="0.4">
      <c r="A241" t="s">
        <v>969</v>
      </c>
      <c r="B241" t="s">
        <v>1499</v>
      </c>
      <c r="C241" t="s">
        <v>970</v>
      </c>
      <c r="D241" t="s">
        <v>971</v>
      </c>
      <c r="E241" t="s">
        <v>972</v>
      </c>
      <c r="F241" t="s">
        <v>973</v>
      </c>
      <c r="G241" t="s">
        <v>974</v>
      </c>
      <c r="H241" t="s">
        <v>1455</v>
      </c>
    </row>
    <row r="242" spans="1:13" x14ac:dyDescent="0.4">
      <c r="A242" t="s">
        <v>975</v>
      </c>
      <c r="B242" t="s">
        <v>1610</v>
      </c>
      <c r="C242" t="s">
        <v>174</v>
      </c>
      <c r="D242" t="s">
        <v>175</v>
      </c>
      <c r="E242" t="s">
        <v>176</v>
      </c>
      <c r="F242" t="s">
        <v>177</v>
      </c>
      <c r="G242" t="s">
        <v>976</v>
      </c>
      <c r="H242" t="s" cm="1">
        <v>1453</v>
      </c>
    </row>
    <row r="243" spans="1:13" x14ac:dyDescent="0.4">
      <c r="A243" t="s">
        <v>977</v>
      </c>
      <c r="B243" t="s">
        <v>1610</v>
      </c>
      <c r="C243" t="s">
        <v>174</v>
      </c>
      <c r="D243" t="s">
        <v>175</v>
      </c>
      <c r="E243" t="s">
        <v>176</v>
      </c>
      <c r="F243" t="s">
        <v>177</v>
      </c>
      <c r="G243" t="s">
        <v>976</v>
      </c>
      <c r="H243" t="s" cm="1">
        <v>1453</v>
      </c>
    </row>
    <row r="244" spans="1:13" x14ac:dyDescent="0.4">
      <c r="A244" t="s">
        <v>978</v>
      </c>
      <c r="B244" t="s">
        <v>1500</v>
      </c>
      <c r="C244" t="s">
        <v>979</v>
      </c>
      <c r="D244" t="s">
        <v>980</v>
      </c>
      <c r="E244" t="s">
        <v>981</v>
      </c>
      <c r="F244" t="s">
        <v>982</v>
      </c>
      <c r="G244" t="s">
        <v>983</v>
      </c>
      <c r="H244" t="s">
        <v>1455</v>
      </c>
    </row>
    <row r="245" spans="1:13" x14ac:dyDescent="0.4">
      <c r="A245" t="s">
        <v>984</v>
      </c>
      <c r="B245" t="s">
        <v>1611</v>
      </c>
      <c r="C245" t="s">
        <v>174</v>
      </c>
      <c r="D245" t="s">
        <v>175</v>
      </c>
      <c r="E245" t="s">
        <v>176</v>
      </c>
      <c r="F245" t="s">
        <v>177</v>
      </c>
      <c r="G245" t="s">
        <v>985</v>
      </c>
      <c r="H245" t="s" cm="1">
        <v>1453</v>
      </c>
    </row>
    <row r="246" spans="1:13" x14ac:dyDescent="0.4">
      <c r="A246" t="s">
        <v>986</v>
      </c>
      <c r="B246" t="s">
        <v>1605</v>
      </c>
      <c r="C246" t="s">
        <v>17</v>
      </c>
      <c r="D246" t="s">
        <v>134</v>
      </c>
      <c r="E246" t="s">
        <v>135</v>
      </c>
      <c r="F246" t="s">
        <v>136</v>
      </c>
      <c r="G246" t="s">
        <v>933</v>
      </c>
      <c r="H246" t="s" cm="1">
        <v>1451</v>
      </c>
    </row>
    <row r="247" spans="1:13" x14ac:dyDescent="0.4">
      <c r="A247" t="s">
        <v>987</v>
      </c>
      <c r="B247" t="s">
        <v>1580</v>
      </c>
      <c r="C247" t="s">
        <v>344</v>
      </c>
      <c r="D247" t="s">
        <v>345</v>
      </c>
      <c r="E247" t="s">
        <v>346</v>
      </c>
      <c r="F247" t="s">
        <v>347</v>
      </c>
      <c r="G247" t="s">
        <v>988</v>
      </c>
      <c r="H247" t="s" cm="1">
        <v>1452</v>
      </c>
    </row>
    <row r="248" spans="1:13" x14ac:dyDescent="0.4">
      <c r="A248" t="s">
        <v>989</v>
      </c>
      <c r="B248" t="s">
        <v>1612</v>
      </c>
      <c r="C248" t="s">
        <v>17</v>
      </c>
      <c r="D248" t="s">
        <v>134</v>
      </c>
      <c r="E248" t="s">
        <v>135</v>
      </c>
      <c r="F248" t="s">
        <v>136</v>
      </c>
      <c r="G248" t="s">
        <v>990</v>
      </c>
      <c r="H248" t="s" cm="1">
        <v>1451</v>
      </c>
      <c r="I248" t="s">
        <v>363</v>
      </c>
      <c r="J248" t="s">
        <v>239</v>
      </c>
    </row>
    <row r="249" spans="1:13" x14ac:dyDescent="0.4">
      <c r="A249" t="s">
        <v>991</v>
      </c>
      <c r="B249" t="s">
        <v>1613</v>
      </c>
      <c r="C249" t="s">
        <v>17</v>
      </c>
      <c r="D249" t="s">
        <v>134</v>
      </c>
      <c r="E249" t="s">
        <v>135</v>
      </c>
      <c r="F249" t="s">
        <v>136</v>
      </c>
      <c r="G249" t="s">
        <v>992</v>
      </c>
      <c r="H249" t="s" cm="1">
        <v>1451</v>
      </c>
    </row>
    <row r="250" spans="1:13" x14ac:dyDescent="0.4">
      <c r="A250" t="s">
        <v>993</v>
      </c>
      <c r="B250" t="s">
        <v>1458</v>
      </c>
      <c r="C250" t="s">
        <v>634</v>
      </c>
      <c r="D250" t="s">
        <v>635</v>
      </c>
      <c r="E250" t="s">
        <v>636</v>
      </c>
      <c r="F250" t="s">
        <v>261</v>
      </c>
      <c r="G250" t="s">
        <v>994</v>
      </c>
      <c r="H250" t="s" cm="1">
        <v>1454</v>
      </c>
      <c r="J250" t="s">
        <v>638</v>
      </c>
      <c r="K250" t="s">
        <v>995</v>
      </c>
      <c r="L250" t="s">
        <v>312</v>
      </c>
      <c r="M250" t="s">
        <v>996</v>
      </c>
    </row>
    <row r="251" spans="1:13" x14ac:dyDescent="0.4">
      <c r="A251" t="s">
        <v>997</v>
      </c>
      <c r="B251" t="s">
        <v>1581</v>
      </c>
      <c r="C251" t="s">
        <v>344</v>
      </c>
      <c r="D251" t="s">
        <v>345</v>
      </c>
      <c r="E251" t="s">
        <v>346</v>
      </c>
      <c r="F251" t="s">
        <v>347</v>
      </c>
      <c r="G251" t="s">
        <v>998</v>
      </c>
      <c r="H251" t="s" cm="1">
        <v>1452</v>
      </c>
    </row>
    <row r="252" spans="1:13" x14ac:dyDescent="0.4">
      <c r="A252" t="s">
        <v>999</v>
      </c>
      <c r="B252" t="s">
        <v>1501</v>
      </c>
      <c r="C252" t="s">
        <v>1000</v>
      </c>
      <c r="D252" t="s">
        <v>1001</v>
      </c>
      <c r="E252" t="s">
        <v>1002</v>
      </c>
      <c r="F252" t="s">
        <v>1003</v>
      </c>
      <c r="G252" t="s">
        <v>1004</v>
      </c>
      <c r="H252" t="s">
        <v>1455</v>
      </c>
      <c r="I252" t="s">
        <v>1005</v>
      </c>
    </row>
    <row r="253" spans="1:13" x14ac:dyDescent="0.4">
      <c r="A253" t="s">
        <v>1006</v>
      </c>
      <c r="B253" t="s">
        <v>1614</v>
      </c>
      <c r="C253" t="s">
        <v>17</v>
      </c>
      <c r="D253" t="s">
        <v>134</v>
      </c>
      <c r="E253" t="s">
        <v>135</v>
      </c>
      <c r="F253" t="s">
        <v>136</v>
      </c>
      <c r="G253" t="s">
        <v>1007</v>
      </c>
      <c r="H253" t="s" cm="1">
        <v>1451</v>
      </c>
    </row>
    <row r="254" spans="1:13" x14ac:dyDescent="0.4">
      <c r="A254" t="s">
        <v>1008</v>
      </c>
      <c r="B254" t="s">
        <v>1459</v>
      </c>
      <c r="C254" t="s">
        <v>1009</v>
      </c>
      <c r="D254" t="s">
        <v>1010</v>
      </c>
      <c r="E254" t="s">
        <v>1011</v>
      </c>
      <c r="F254" t="s">
        <v>1012</v>
      </c>
      <c r="G254" t="s">
        <v>1013</v>
      </c>
      <c r="H254" t="s">
        <v>1455</v>
      </c>
      <c r="I254" t="s">
        <v>1014</v>
      </c>
    </row>
    <row r="255" spans="1:13" x14ac:dyDescent="0.4">
      <c r="A255" t="s">
        <v>1015</v>
      </c>
      <c r="B255" t="s">
        <v>1810</v>
      </c>
      <c r="C255" t="s">
        <v>1016</v>
      </c>
      <c r="D255" t="s">
        <v>1017</v>
      </c>
      <c r="E255" t="s">
        <v>1018</v>
      </c>
      <c r="F255" t="s">
        <v>1019</v>
      </c>
      <c r="G255" t="s">
        <v>1020</v>
      </c>
      <c r="H255" t="s">
        <v>1455</v>
      </c>
    </row>
    <row r="256" spans="1:13" x14ac:dyDescent="0.4">
      <c r="A256" t="s">
        <v>1021</v>
      </c>
      <c r="B256" t="s">
        <v>1502</v>
      </c>
      <c r="C256" t="s">
        <v>680</v>
      </c>
      <c r="D256" t="s">
        <v>681</v>
      </c>
      <c r="E256" t="s">
        <v>682</v>
      </c>
      <c r="F256" t="s">
        <v>261</v>
      </c>
      <c r="G256" t="s">
        <v>1022</v>
      </c>
      <c r="H256" t="s" cm="1">
        <v>1454</v>
      </c>
      <c r="J256" t="s">
        <v>575</v>
      </c>
      <c r="K256" t="s">
        <v>639</v>
      </c>
      <c r="L256" t="s">
        <v>1023</v>
      </c>
    </row>
    <row r="257" spans="1:10" x14ac:dyDescent="0.4">
      <c r="A257" t="s">
        <v>1024</v>
      </c>
      <c r="B257" t="s">
        <v>1615</v>
      </c>
      <c r="C257" t="s">
        <v>17</v>
      </c>
      <c r="D257" t="s">
        <v>134</v>
      </c>
      <c r="E257" t="s">
        <v>135</v>
      </c>
      <c r="F257" t="s">
        <v>136</v>
      </c>
      <c r="G257" t="s">
        <v>1025</v>
      </c>
      <c r="H257" t="s" cm="1">
        <v>1451</v>
      </c>
      <c r="I257" t="s">
        <v>200</v>
      </c>
      <c r="J257" t="s">
        <v>561</v>
      </c>
    </row>
    <row r="258" spans="1:10" x14ac:dyDescent="0.4">
      <c r="A258" t="s">
        <v>1026</v>
      </c>
      <c r="B258" t="s">
        <v>1503</v>
      </c>
      <c r="C258" t="s">
        <v>1027</v>
      </c>
      <c r="D258" t="s">
        <v>1028</v>
      </c>
      <c r="E258" t="s">
        <v>1029</v>
      </c>
      <c r="F258" t="s">
        <v>1030</v>
      </c>
      <c r="G258" t="s">
        <v>1031</v>
      </c>
      <c r="H258" t="s">
        <v>1455</v>
      </c>
      <c r="I258" t="s">
        <v>1032</v>
      </c>
    </row>
    <row r="259" spans="1:10" x14ac:dyDescent="0.4">
      <c r="A259" t="s">
        <v>1033</v>
      </c>
      <c r="B259" t="s">
        <v>1616</v>
      </c>
      <c r="C259" t="s">
        <v>174</v>
      </c>
      <c r="D259" t="s">
        <v>175</v>
      </c>
      <c r="E259" t="s">
        <v>176</v>
      </c>
      <c r="F259" t="s">
        <v>177</v>
      </c>
      <c r="G259" t="s">
        <v>1034</v>
      </c>
      <c r="H259" t="s" cm="1">
        <v>1453</v>
      </c>
    </row>
    <row r="260" spans="1:10" x14ac:dyDescent="0.4">
      <c r="A260" t="s">
        <v>1035</v>
      </c>
      <c r="B260" t="s">
        <v>1582</v>
      </c>
      <c r="C260" t="s">
        <v>344</v>
      </c>
      <c r="D260" t="s">
        <v>345</v>
      </c>
      <c r="E260" t="s">
        <v>346</v>
      </c>
      <c r="F260" t="s">
        <v>347</v>
      </c>
      <c r="G260" t="s">
        <v>1036</v>
      </c>
      <c r="H260" t="s" cm="1">
        <v>1452</v>
      </c>
    </row>
    <row r="261" spans="1:10" x14ac:dyDescent="0.4">
      <c r="A261" t="s">
        <v>1037</v>
      </c>
      <c r="B261" t="s">
        <v>1504</v>
      </c>
      <c r="C261" t="s">
        <v>480</v>
      </c>
      <c r="D261" t="s">
        <v>481</v>
      </c>
      <c r="E261" t="s">
        <v>482</v>
      </c>
      <c r="F261" t="s">
        <v>317</v>
      </c>
      <c r="G261" t="s">
        <v>1038</v>
      </c>
      <c r="H261" t="s" cm="1">
        <v>1454</v>
      </c>
      <c r="I261" t="s">
        <v>1039</v>
      </c>
    </row>
    <row r="262" spans="1:10" x14ac:dyDescent="0.4">
      <c r="A262" t="s">
        <v>1040</v>
      </c>
      <c r="B262" t="s">
        <v>1617</v>
      </c>
      <c r="C262" t="s">
        <v>17</v>
      </c>
      <c r="D262" t="s">
        <v>134</v>
      </c>
      <c r="E262" t="s">
        <v>135</v>
      </c>
      <c r="F262" t="s">
        <v>136</v>
      </c>
      <c r="G262" t="s">
        <v>1041</v>
      </c>
      <c r="H262" t="s" cm="1">
        <v>1451</v>
      </c>
    </row>
    <row r="263" spans="1:10" x14ac:dyDescent="0.4">
      <c r="A263" t="s">
        <v>1042</v>
      </c>
      <c r="B263" t="s">
        <v>1505</v>
      </c>
      <c r="C263" t="s">
        <v>535</v>
      </c>
      <c r="D263" t="s">
        <v>536</v>
      </c>
      <c r="E263" t="s">
        <v>537</v>
      </c>
      <c r="F263" t="s">
        <v>538</v>
      </c>
      <c r="G263" t="s">
        <v>1043</v>
      </c>
      <c r="H263" t="s">
        <v>1455</v>
      </c>
    </row>
    <row r="264" spans="1:10" x14ac:dyDescent="0.4">
      <c r="A264" t="s">
        <v>1044</v>
      </c>
      <c r="B264" t="s">
        <v>1618</v>
      </c>
      <c r="C264" t="s">
        <v>17</v>
      </c>
      <c r="D264" t="s">
        <v>134</v>
      </c>
      <c r="E264" t="s">
        <v>135</v>
      </c>
      <c r="F264" t="s">
        <v>136</v>
      </c>
      <c r="G264" t="s">
        <v>1045</v>
      </c>
      <c r="H264" t="s" cm="1">
        <v>1451</v>
      </c>
    </row>
    <row r="265" spans="1:10" x14ac:dyDescent="0.4">
      <c r="A265" t="s">
        <v>1046</v>
      </c>
      <c r="B265" t="s">
        <v>1506</v>
      </c>
      <c r="C265" t="s">
        <v>1047</v>
      </c>
      <c r="D265" t="s">
        <v>1048</v>
      </c>
      <c r="E265" t="s">
        <v>1049</v>
      </c>
      <c r="F265" t="s">
        <v>1050</v>
      </c>
      <c r="G265" t="s">
        <v>1051</v>
      </c>
      <c r="H265" t="s">
        <v>1455</v>
      </c>
    </row>
    <row r="266" spans="1:10" x14ac:dyDescent="0.4">
      <c r="A266" t="s">
        <v>1052</v>
      </c>
      <c r="B266" t="s">
        <v>1460</v>
      </c>
      <c r="C266" t="s">
        <v>365</v>
      </c>
      <c r="D266" t="s">
        <v>366</v>
      </c>
      <c r="E266" t="s">
        <v>367</v>
      </c>
      <c r="F266" t="s">
        <v>368</v>
      </c>
      <c r="G266" t="s">
        <v>1053</v>
      </c>
      <c r="H266" t="s" cm="1">
        <v>1450</v>
      </c>
      <c r="I266" t="s">
        <v>1054</v>
      </c>
    </row>
    <row r="267" spans="1:10" x14ac:dyDescent="0.4">
      <c r="A267" t="s">
        <v>1055</v>
      </c>
      <c r="B267" t="s">
        <v>1619</v>
      </c>
      <c r="C267" t="s">
        <v>174</v>
      </c>
      <c r="D267" t="s">
        <v>175</v>
      </c>
      <c r="E267" t="s">
        <v>176</v>
      </c>
      <c r="F267" t="s">
        <v>177</v>
      </c>
      <c r="G267" t="s">
        <v>1056</v>
      </c>
      <c r="H267" t="s" cm="1">
        <v>1453</v>
      </c>
    </row>
    <row r="268" spans="1:10" x14ac:dyDescent="0.4">
      <c r="A268" t="s">
        <v>1057</v>
      </c>
      <c r="B268" t="s">
        <v>1507</v>
      </c>
      <c r="C268" t="s">
        <v>19</v>
      </c>
      <c r="D268" t="s">
        <v>530</v>
      </c>
      <c r="E268" t="s">
        <v>531</v>
      </c>
      <c r="F268" t="s">
        <v>532</v>
      </c>
      <c r="G268" t="s">
        <v>1058</v>
      </c>
      <c r="H268" t="s" cm="1">
        <v>1450</v>
      </c>
      <c r="I268" t="s">
        <v>1059</v>
      </c>
    </row>
    <row r="269" spans="1:10" x14ac:dyDescent="0.4">
      <c r="A269" t="s">
        <v>1060</v>
      </c>
      <c r="B269" t="s">
        <v>1620</v>
      </c>
      <c r="C269" t="s">
        <v>17</v>
      </c>
      <c r="D269" t="s">
        <v>134</v>
      </c>
      <c r="E269" t="s">
        <v>135</v>
      </c>
      <c r="F269" t="s">
        <v>136</v>
      </c>
      <c r="G269" t="s">
        <v>1061</v>
      </c>
      <c r="H269" t="s" cm="1">
        <v>1451</v>
      </c>
      <c r="I269" t="s">
        <v>138</v>
      </c>
      <c r="J269" t="s">
        <v>201</v>
      </c>
    </row>
    <row r="270" spans="1:10" x14ac:dyDescent="0.4">
      <c r="A270" t="s">
        <v>1062</v>
      </c>
      <c r="B270" t="s">
        <v>1508</v>
      </c>
      <c r="C270" t="s">
        <v>190</v>
      </c>
      <c r="D270" t="s">
        <v>191</v>
      </c>
      <c r="E270" t="s">
        <v>192</v>
      </c>
      <c r="F270" t="s">
        <v>193</v>
      </c>
      <c r="G270" t="s">
        <v>1063</v>
      </c>
      <c r="H270" t="s" cm="1">
        <v>1450</v>
      </c>
      <c r="I270" t="s">
        <v>380</v>
      </c>
    </row>
    <row r="271" spans="1:10" x14ac:dyDescent="0.4">
      <c r="A271" t="s">
        <v>1064</v>
      </c>
      <c r="B271" t="s">
        <v>1621</v>
      </c>
      <c r="C271" t="s">
        <v>174</v>
      </c>
      <c r="D271" t="s">
        <v>175</v>
      </c>
      <c r="E271" t="s">
        <v>176</v>
      </c>
      <c r="F271" t="s">
        <v>177</v>
      </c>
      <c r="G271" t="s">
        <v>1065</v>
      </c>
      <c r="H271" t="s" cm="1">
        <v>1453</v>
      </c>
    </row>
    <row r="272" spans="1:10" x14ac:dyDescent="0.4">
      <c r="A272" t="s">
        <v>1066</v>
      </c>
      <c r="B272" t="s">
        <v>1622</v>
      </c>
      <c r="C272" t="s">
        <v>17</v>
      </c>
      <c r="D272" t="s">
        <v>134</v>
      </c>
      <c r="E272" t="s">
        <v>135</v>
      </c>
      <c r="F272" t="s">
        <v>136</v>
      </c>
      <c r="G272" t="s">
        <v>1067</v>
      </c>
      <c r="H272" t="s" cm="1">
        <v>1451</v>
      </c>
    </row>
    <row r="273" spans="1:10" x14ac:dyDescent="0.4">
      <c r="A273" t="s">
        <v>1068</v>
      </c>
      <c r="B273" t="s">
        <v>1509</v>
      </c>
      <c r="C273" t="s">
        <v>384</v>
      </c>
      <c r="D273" t="s">
        <v>385</v>
      </c>
      <c r="E273" t="s">
        <v>386</v>
      </c>
      <c r="F273" t="s">
        <v>387</v>
      </c>
      <c r="G273" t="s">
        <v>1069</v>
      </c>
      <c r="H273" t="s">
        <v>1455</v>
      </c>
      <c r="I273" t="s">
        <v>389</v>
      </c>
    </row>
    <row r="274" spans="1:10" x14ac:dyDescent="0.4">
      <c r="A274" t="s">
        <v>1070</v>
      </c>
      <c r="B274" t="s">
        <v>1623</v>
      </c>
      <c r="C274" t="s">
        <v>174</v>
      </c>
      <c r="D274" t="s">
        <v>175</v>
      </c>
      <c r="E274" t="s">
        <v>176</v>
      </c>
      <c r="F274" t="s">
        <v>177</v>
      </c>
      <c r="G274" t="s">
        <v>1071</v>
      </c>
      <c r="H274" t="s" cm="1">
        <v>1453</v>
      </c>
      <c r="I274" t="s">
        <v>179</v>
      </c>
      <c r="J274" t="s">
        <v>208</v>
      </c>
    </row>
    <row r="275" spans="1:10" x14ac:dyDescent="0.4">
      <c r="A275" t="s">
        <v>1072</v>
      </c>
      <c r="B275" t="s">
        <v>1510</v>
      </c>
      <c r="C275" t="s">
        <v>1073</v>
      </c>
      <c r="D275" t="s">
        <v>1074</v>
      </c>
      <c r="E275" t="s">
        <v>1075</v>
      </c>
      <c r="F275" t="s">
        <v>387</v>
      </c>
      <c r="G275" t="s">
        <v>1076</v>
      </c>
      <c r="H275" t="s">
        <v>1455</v>
      </c>
    </row>
    <row r="276" spans="1:10" x14ac:dyDescent="0.4">
      <c r="A276" t="s">
        <v>1077</v>
      </c>
      <c r="B276" t="s">
        <v>1511</v>
      </c>
      <c r="C276" t="s">
        <v>190</v>
      </c>
      <c r="D276" t="s">
        <v>191</v>
      </c>
      <c r="E276" t="s">
        <v>192</v>
      </c>
      <c r="F276" t="s">
        <v>193</v>
      </c>
      <c r="G276" t="s">
        <v>1078</v>
      </c>
      <c r="H276" t="s" cm="1">
        <v>1450</v>
      </c>
    </row>
    <row r="277" spans="1:10" x14ac:dyDescent="0.4">
      <c r="A277" t="s">
        <v>1080</v>
      </c>
      <c r="B277" t="s">
        <v>1624</v>
      </c>
      <c r="C277" t="s">
        <v>17</v>
      </c>
      <c r="D277" t="s">
        <v>134</v>
      </c>
      <c r="E277" t="s">
        <v>135</v>
      </c>
      <c r="F277" t="s">
        <v>136</v>
      </c>
      <c r="G277" t="s">
        <v>1081</v>
      </c>
      <c r="H277" t="s" cm="1">
        <v>1451</v>
      </c>
      <c r="I277" t="s">
        <v>138</v>
      </c>
    </row>
    <row r="278" spans="1:10" x14ac:dyDescent="0.4">
      <c r="A278" t="s">
        <v>1082</v>
      </c>
      <c r="B278" t="s">
        <v>1625</v>
      </c>
      <c r="C278" t="s">
        <v>17</v>
      </c>
      <c r="D278" t="s">
        <v>134</v>
      </c>
      <c r="E278" t="s">
        <v>135</v>
      </c>
      <c r="F278" t="s">
        <v>136</v>
      </c>
      <c r="G278" t="s">
        <v>1083</v>
      </c>
      <c r="H278" t="s" cm="1">
        <v>1451</v>
      </c>
    </row>
    <row r="279" spans="1:10" x14ac:dyDescent="0.4">
      <c r="A279" t="s">
        <v>1084</v>
      </c>
      <c r="B279" t="s">
        <v>1625</v>
      </c>
      <c r="C279" t="s">
        <v>17</v>
      </c>
      <c r="D279" t="s">
        <v>134</v>
      </c>
      <c r="E279" t="s">
        <v>135</v>
      </c>
      <c r="F279" t="s">
        <v>136</v>
      </c>
      <c r="G279" t="s">
        <v>1083</v>
      </c>
      <c r="H279" t="s" cm="1">
        <v>1451</v>
      </c>
    </row>
    <row r="280" spans="1:10" x14ac:dyDescent="0.4">
      <c r="A280" t="s">
        <v>1085</v>
      </c>
      <c r="B280" t="s">
        <v>1512</v>
      </c>
      <c r="C280" t="s">
        <v>451</v>
      </c>
      <c r="D280" t="s">
        <v>452</v>
      </c>
      <c r="E280" t="s">
        <v>453</v>
      </c>
      <c r="F280" t="s">
        <v>454</v>
      </c>
      <c r="G280" t="s">
        <v>1086</v>
      </c>
      <c r="H280" t="s">
        <v>1455</v>
      </c>
    </row>
    <row r="281" spans="1:10" x14ac:dyDescent="0.4">
      <c r="A281" t="s">
        <v>1087</v>
      </c>
      <c r="B281" t="s">
        <v>1513</v>
      </c>
      <c r="C281" t="s">
        <v>1088</v>
      </c>
      <c r="D281" t="s">
        <v>1089</v>
      </c>
      <c r="E281" t="s">
        <v>1090</v>
      </c>
      <c r="F281" t="s">
        <v>387</v>
      </c>
      <c r="G281" t="s">
        <v>1091</v>
      </c>
      <c r="H281" t="s">
        <v>1455</v>
      </c>
    </row>
    <row r="282" spans="1:10" x14ac:dyDescent="0.4">
      <c r="A282" t="s">
        <v>1092</v>
      </c>
      <c r="B282" t="s">
        <v>1514</v>
      </c>
      <c r="C282" t="s">
        <v>1093</v>
      </c>
      <c r="D282" t="s">
        <v>1094</v>
      </c>
      <c r="E282" t="s">
        <v>1095</v>
      </c>
      <c r="F282" t="s">
        <v>1096</v>
      </c>
      <c r="G282" t="s">
        <v>1097</v>
      </c>
      <c r="H282" t="s">
        <v>1455</v>
      </c>
      <c r="J282" t="s">
        <v>1098</v>
      </c>
    </row>
    <row r="283" spans="1:10" x14ac:dyDescent="0.4">
      <c r="A283" t="s">
        <v>1099</v>
      </c>
      <c r="B283" t="s">
        <v>1626</v>
      </c>
      <c r="C283" t="s">
        <v>17</v>
      </c>
      <c r="D283" t="s">
        <v>134</v>
      </c>
      <c r="E283" t="s">
        <v>135</v>
      </c>
      <c r="F283" t="s">
        <v>136</v>
      </c>
      <c r="G283" t="s">
        <v>1100</v>
      </c>
      <c r="H283" t="s" cm="1">
        <v>1451</v>
      </c>
      <c r="I283" t="s">
        <v>363</v>
      </c>
      <c r="J283" t="s">
        <v>239</v>
      </c>
    </row>
    <row r="284" spans="1:10" x14ac:dyDescent="0.4">
      <c r="A284" t="s">
        <v>1101</v>
      </c>
      <c r="B284" t="s">
        <v>1515</v>
      </c>
      <c r="C284" t="s">
        <v>328</v>
      </c>
      <c r="D284" t="s">
        <v>329</v>
      </c>
      <c r="E284" t="s">
        <v>330</v>
      </c>
      <c r="F284" t="s">
        <v>331</v>
      </c>
      <c r="G284" t="s">
        <v>1102</v>
      </c>
      <c r="H284" t="s">
        <v>1455</v>
      </c>
    </row>
    <row r="285" spans="1:10" x14ac:dyDescent="0.4">
      <c r="A285" t="s">
        <v>1103</v>
      </c>
      <c r="B285" t="s">
        <v>1516</v>
      </c>
      <c r="C285" t="s">
        <v>384</v>
      </c>
      <c r="D285" t="s">
        <v>385</v>
      </c>
      <c r="E285" t="s">
        <v>386</v>
      </c>
      <c r="F285" t="s">
        <v>387</v>
      </c>
      <c r="G285" t="s">
        <v>1104</v>
      </c>
      <c r="H285" t="s">
        <v>1455</v>
      </c>
    </row>
    <row r="286" spans="1:10" x14ac:dyDescent="0.4">
      <c r="A286" t="s">
        <v>1105</v>
      </c>
      <c r="B286" t="s">
        <v>1627</v>
      </c>
      <c r="C286" t="s">
        <v>17</v>
      </c>
      <c r="D286" t="s">
        <v>134</v>
      </c>
      <c r="E286" t="s">
        <v>135</v>
      </c>
      <c r="F286" t="s">
        <v>136</v>
      </c>
      <c r="G286" t="s">
        <v>1106</v>
      </c>
      <c r="H286" t="s" cm="1">
        <v>1451</v>
      </c>
      <c r="I286" t="s">
        <v>138</v>
      </c>
      <c r="J286" t="s">
        <v>201</v>
      </c>
    </row>
    <row r="287" spans="1:10" x14ac:dyDescent="0.4">
      <c r="A287" t="s">
        <v>1107</v>
      </c>
      <c r="B287" t="s">
        <v>1517</v>
      </c>
      <c r="C287" t="s">
        <v>641</v>
      </c>
      <c r="D287" t="s">
        <v>642</v>
      </c>
      <c r="E287" t="s">
        <v>643</v>
      </c>
      <c r="F287" t="s">
        <v>237</v>
      </c>
      <c r="G287" t="s">
        <v>1108</v>
      </c>
      <c r="H287" t="s">
        <v>1455</v>
      </c>
    </row>
    <row r="288" spans="1:10" x14ac:dyDescent="0.4">
      <c r="A288" t="s">
        <v>1109</v>
      </c>
      <c r="B288" t="s">
        <v>1518</v>
      </c>
      <c r="C288" t="s">
        <v>585</v>
      </c>
      <c r="D288" t="s">
        <v>586</v>
      </c>
      <c r="E288" t="s">
        <v>587</v>
      </c>
      <c r="F288" t="s">
        <v>454</v>
      </c>
      <c r="G288" t="s">
        <v>1110</v>
      </c>
      <c r="H288" t="s">
        <v>1455</v>
      </c>
    </row>
    <row r="289" spans="1:10" x14ac:dyDescent="0.4">
      <c r="A289" t="s">
        <v>1111</v>
      </c>
      <c r="B289" t="s">
        <v>1518</v>
      </c>
      <c r="C289" t="s">
        <v>451</v>
      </c>
      <c r="D289" t="s">
        <v>452</v>
      </c>
      <c r="E289" t="s">
        <v>453</v>
      </c>
      <c r="F289" t="s">
        <v>454</v>
      </c>
      <c r="G289" t="s">
        <v>1110</v>
      </c>
      <c r="H289" t="s">
        <v>1455</v>
      </c>
    </row>
    <row r="290" spans="1:10" x14ac:dyDescent="0.4">
      <c r="A290" t="s">
        <v>1112</v>
      </c>
      <c r="B290" t="s">
        <v>1628</v>
      </c>
      <c r="C290" t="s">
        <v>17</v>
      </c>
      <c r="D290" t="s">
        <v>134</v>
      </c>
      <c r="E290" t="s">
        <v>135</v>
      </c>
      <c r="F290" t="s">
        <v>136</v>
      </c>
      <c r="G290" t="s">
        <v>1113</v>
      </c>
      <c r="H290" t="s" cm="1">
        <v>1451</v>
      </c>
      <c r="I290" t="s">
        <v>138</v>
      </c>
      <c r="J290" t="s">
        <v>201</v>
      </c>
    </row>
    <row r="291" spans="1:10" x14ac:dyDescent="0.4">
      <c r="A291" t="s">
        <v>1114</v>
      </c>
      <c r="B291" t="s">
        <v>1629</v>
      </c>
      <c r="C291" t="s">
        <v>174</v>
      </c>
      <c r="D291" t="s">
        <v>175</v>
      </c>
      <c r="E291" t="s">
        <v>176</v>
      </c>
      <c r="F291" t="s">
        <v>177</v>
      </c>
      <c r="G291" t="s">
        <v>1115</v>
      </c>
      <c r="H291" t="s" cm="1">
        <v>1453</v>
      </c>
    </row>
    <row r="292" spans="1:10" x14ac:dyDescent="0.4">
      <c r="A292" t="s">
        <v>1116</v>
      </c>
      <c r="B292" t="s">
        <v>1630</v>
      </c>
      <c r="C292" t="s">
        <v>174</v>
      </c>
      <c r="D292" t="s">
        <v>175</v>
      </c>
      <c r="E292" t="s">
        <v>176</v>
      </c>
      <c r="F292" t="s">
        <v>177</v>
      </c>
      <c r="G292" t="s">
        <v>1117</v>
      </c>
      <c r="H292" t="s" cm="1">
        <v>1453</v>
      </c>
    </row>
    <row r="293" spans="1:10" x14ac:dyDescent="0.4">
      <c r="A293" t="s">
        <v>1118</v>
      </c>
      <c r="B293" t="s">
        <v>1519</v>
      </c>
      <c r="C293" t="s">
        <v>541</v>
      </c>
      <c r="D293" t="s">
        <v>542</v>
      </c>
      <c r="E293" t="s">
        <v>543</v>
      </c>
      <c r="F293" t="s">
        <v>466</v>
      </c>
      <c r="G293" t="s">
        <v>1119</v>
      </c>
      <c r="H293" t="s">
        <v>1455</v>
      </c>
    </row>
    <row r="294" spans="1:10" x14ac:dyDescent="0.4">
      <c r="A294" t="s">
        <v>1120</v>
      </c>
      <c r="B294" t="s">
        <v>1631</v>
      </c>
      <c r="C294" t="s">
        <v>17</v>
      </c>
      <c r="D294" t="s">
        <v>134</v>
      </c>
      <c r="E294" t="s">
        <v>135</v>
      </c>
      <c r="F294" t="s">
        <v>136</v>
      </c>
      <c r="G294" t="s">
        <v>1121</v>
      </c>
      <c r="H294" t="s" cm="1">
        <v>1451</v>
      </c>
    </row>
    <row r="295" spans="1:10" x14ac:dyDescent="0.4">
      <c r="A295" t="s">
        <v>1122</v>
      </c>
      <c r="B295" t="s">
        <v>1520</v>
      </c>
      <c r="C295" t="s">
        <v>94</v>
      </c>
      <c r="D295" t="s">
        <v>229</v>
      </c>
      <c r="E295" t="s">
        <v>230</v>
      </c>
      <c r="F295" t="s">
        <v>231</v>
      </c>
      <c r="G295" t="s">
        <v>1123</v>
      </c>
      <c r="H295" t="s" cm="1">
        <v>1450</v>
      </c>
    </row>
    <row r="296" spans="1:10" x14ac:dyDescent="0.4">
      <c r="A296" t="s">
        <v>1124</v>
      </c>
      <c r="B296" t="s">
        <v>1521</v>
      </c>
      <c r="C296" t="s">
        <v>93</v>
      </c>
      <c r="D296" t="s">
        <v>412</v>
      </c>
      <c r="E296" t="s">
        <v>413</v>
      </c>
      <c r="F296" t="s">
        <v>414</v>
      </c>
      <c r="G296" t="s">
        <v>1125</v>
      </c>
      <c r="H296" t="s" cm="1">
        <v>1450</v>
      </c>
    </row>
    <row r="297" spans="1:10" x14ac:dyDescent="0.4">
      <c r="A297" t="s">
        <v>1127</v>
      </c>
      <c r="B297" t="s">
        <v>1522</v>
      </c>
      <c r="C297" t="s">
        <v>1128</v>
      </c>
      <c r="D297" t="s">
        <v>1129</v>
      </c>
      <c r="E297" t="s">
        <v>1130</v>
      </c>
      <c r="F297" t="s">
        <v>1131</v>
      </c>
      <c r="G297" t="s">
        <v>1132</v>
      </c>
      <c r="H297" t="s" cm="1">
        <v>1454</v>
      </c>
    </row>
    <row r="298" spans="1:10" x14ac:dyDescent="0.4">
      <c r="A298" t="s">
        <v>1133</v>
      </c>
      <c r="B298" t="s">
        <v>1811</v>
      </c>
      <c r="C298" t="s">
        <v>1134</v>
      </c>
      <c r="D298" t="s">
        <v>1135</v>
      </c>
      <c r="E298" t="s">
        <v>1136</v>
      </c>
      <c r="F298" t="s">
        <v>1137</v>
      </c>
      <c r="G298" t="s">
        <v>1138</v>
      </c>
      <c r="H298" t="s">
        <v>1455</v>
      </c>
      <c r="I298" t="s">
        <v>1139</v>
      </c>
    </row>
    <row r="299" spans="1:10" x14ac:dyDescent="0.4">
      <c r="A299" t="s">
        <v>1140</v>
      </c>
      <c r="B299" t="s">
        <v>1523</v>
      </c>
      <c r="C299" t="s">
        <v>1141</v>
      </c>
      <c r="D299" t="s">
        <v>1142</v>
      </c>
      <c r="E299" t="s">
        <v>1143</v>
      </c>
      <c r="F299" t="s">
        <v>1144</v>
      </c>
      <c r="G299" t="s">
        <v>1145</v>
      </c>
      <c r="H299" t="s">
        <v>1455</v>
      </c>
    </row>
    <row r="300" spans="1:10" x14ac:dyDescent="0.4">
      <c r="A300" t="s">
        <v>1146</v>
      </c>
      <c r="B300" t="s">
        <v>1524</v>
      </c>
      <c r="C300" t="s">
        <v>646</v>
      </c>
      <c r="D300" t="s">
        <v>647</v>
      </c>
      <c r="E300" t="s">
        <v>648</v>
      </c>
      <c r="F300" t="s">
        <v>649</v>
      </c>
      <c r="G300" t="s">
        <v>1147</v>
      </c>
      <c r="H300" t="s" cm="1">
        <v>1454</v>
      </c>
    </row>
    <row r="301" spans="1:10" x14ac:dyDescent="0.4">
      <c r="A301" t="s">
        <v>1148</v>
      </c>
      <c r="B301" t="s">
        <v>1524</v>
      </c>
      <c r="C301" t="s">
        <v>646</v>
      </c>
      <c r="D301" t="s">
        <v>647</v>
      </c>
      <c r="E301" t="s">
        <v>648</v>
      </c>
      <c r="F301" t="s">
        <v>649</v>
      </c>
      <c r="G301" t="s">
        <v>1147</v>
      </c>
      <c r="H301" t="s" cm="1">
        <v>1454</v>
      </c>
    </row>
    <row r="302" spans="1:10" x14ac:dyDescent="0.4">
      <c r="A302" t="s">
        <v>1149</v>
      </c>
      <c r="B302" t="s">
        <v>1632</v>
      </c>
      <c r="C302" t="s">
        <v>17</v>
      </c>
      <c r="D302" t="s">
        <v>134</v>
      </c>
      <c r="E302" t="s">
        <v>135</v>
      </c>
      <c r="F302" t="s">
        <v>136</v>
      </c>
      <c r="G302" t="s">
        <v>1150</v>
      </c>
      <c r="H302" t="s" cm="1">
        <v>1451</v>
      </c>
      <c r="I302" t="s">
        <v>200</v>
      </c>
      <c r="J302" t="s">
        <v>561</v>
      </c>
    </row>
    <row r="303" spans="1:10" x14ac:dyDescent="0.4">
      <c r="A303" t="s">
        <v>1151</v>
      </c>
      <c r="B303" t="s">
        <v>1525</v>
      </c>
      <c r="C303" t="s">
        <v>1152</v>
      </c>
      <c r="D303" t="s">
        <v>1153</v>
      </c>
      <c r="E303" t="s">
        <v>1154</v>
      </c>
      <c r="F303" t="s">
        <v>1155</v>
      </c>
      <c r="G303" t="s">
        <v>1156</v>
      </c>
      <c r="H303" t="s">
        <v>1455</v>
      </c>
      <c r="I303" t="s">
        <v>1157</v>
      </c>
    </row>
    <row r="304" spans="1:10" x14ac:dyDescent="0.4">
      <c r="A304" t="s">
        <v>1158</v>
      </c>
      <c r="B304" t="s">
        <v>1633</v>
      </c>
      <c r="C304" t="s">
        <v>17</v>
      </c>
      <c r="D304" t="s">
        <v>134</v>
      </c>
      <c r="E304" t="s">
        <v>135</v>
      </c>
      <c r="F304" t="s">
        <v>136</v>
      </c>
      <c r="G304" t="s">
        <v>1159</v>
      </c>
      <c r="H304" t="s" cm="1">
        <v>1451</v>
      </c>
    </row>
    <row r="305" spans="1:11" x14ac:dyDescent="0.4">
      <c r="A305" t="s">
        <v>1160</v>
      </c>
      <c r="B305" t="s">
        <v>1634</v>
      </c>
      <c r="C305" t="s">
        <v>174</v>
      </c>
      <c r="D305" t="s">
        <v>175</v>
      </c>
      <c r="E305" t="s">
        <v>176</v>
      </c>
      <c r="F305" t="s">
        <v>177</v>
      </c>
      <c r="G305" t="s">
        <v>1161</v>
      </c>
      <c r="H305" t="s" cm="1">
        <v>1453</v>
      </c>
    </row>
    <row r="306" spans="1:11" x14ac:dyDescent="0.4">
      <c r="A306" t="s">
        <v>1162</v>
      </c>
      <c r="B306" t="s">
        <v>1461</v>
      </c>
      <c r="C306" t="s">
        <v>140</v>
      </c>
      <c r="D306" t="s">
        <v>141</v>
      </c>
      <c r="E306" t="s">
        <v>142</v>
      </c>
      <c r="F306" t="s">
        <v>143</v>
      </c>
      <c r="G306" t="s">
        <v>1163</v>
      </c>
      <c r="H306" t="s">
        <v>1455</v>
      </c>
    </row>
    <row r="307" spans="1:11" x14ac:dyDescent="0.4">
      <c r="A307" t="s">
        <v>1164</v>
      </c>
      <c r="B307" t="s">
        <v>1526</v>
      </c>
      <c r="C307" t="s">
        <v>203</v>
      </c>
      <c r="D307" t="s">
        <v>204</v>
      </c>
      <c r="E307" t="s">
        <v>205</v>
      </c>
      <c r="F307" t="s">
        <v>206</v>
      </c>
      <c r="G307" t="s">
        <v>1165</v>
      </c>
      <c r="H307" t="s">
        <v>1455</v>
      </c>
    </row>
    <row r="308" spans="1:11" x14ac:dyDescent="0.4">
      <c r="A308" t="s">
        <v>1166</v>
      </c>
      <c r="B308" t="s">
        <v>1635</v>
      </c>
      <c r="C308" t="s">
        <v>17</v>
      </c>
      <c r="D308" t="s">
        <v>134</v>
      </c>
      <c r="E308" t="s">
        <v>135</v>
      </c>
      <c r="F308" t="s">
        <v>136</v>
      </c>
      <c r="G308" t="s">
        <v>1167</v>
      </c>
      <c r="H308" t="s" cm="1">
        <v>1451</v>
      </c>
    </row>
    <row r="309" spans="1:11" x14ac:dyDescent="0.4">
      <c r="A309" t="s">
        <v>1168</v>
      </c>
      <c r="B309" t="s">
        <v>1527</v>
      </c>
      <c r="C309" t="s">
        <v>93</v>
      </c>
      <c r="D309" t="s">
        <v>412</v>
      </c>
      <c r="E309" t="s">
        <v>413</v>
      </c>
      <c r="F309" t="s">
        <v>414</v>
      </c>
      <c r="G309" t="s">
        <v>1169</v>
      </c>
      <c r="H309" t="s" cm="1">
        <v>1450</v>
      </c>
    </row>
    <row r="310" spans="1:11" x14ac:dyDescent="0.4">
      <c r="A310" t="s">
        <v>1170</v>
      </c>
      <c r="B310" t="s">
        <v>1528</v>
      </c>
      <c r="C310" t="s">
        <v>1171</v>
      </c>
      <c r="D310" t="s">
        <v>1172</v>
      </c>
      <c r="E310" t="s">
        <v>1173</v>
      </c>
      <c r="F310" t="s">
        <v>1174</v>
      </c>
      <c r="G310" t="s">
        <v>1175</v>
      </c>
      <c r="H310" t="s">
        <v>1455</v>
      </c>
    </row>
    <row r="311" spans="1:11" x14ac:dyDescent="0.4">
      <c r="A311" t="s">
        <v>1176</v>
      </c>
      <c r="B311" t="s">
        <v>1529</v>
      </c>
      <c r="C311" t="s">
        <v>1177</v>
      </c>
      <c r="D311" t="s">
        <v>1178</v>
      </c>
      <c r="E311" t="s">
        <v>1179</v>
      </c>
      <c r="F311" t="s">
        <v>1180</v>
      </c>
      <c r="G311" t="s">
        <v>1181</v>
      </c>
      <c r="H311" t="s">
        <v>1455</v>
      </c>
    </row>
    <row r="312" spans="1:11" x14ac:dyDescent="0.4">
      <c r="A312" t="s">
        <v>1182</v>
      </c>
      <c r="B312" t="s">
        <v>1636</v>
      </c>
      <c r="C312" t="s">
        <v>17</v>
      </c>
      <c r="D312" t="s">
        <v>134</v>
      </c>
      <c r="E312" t="s">
        <v>135</v>
      </c>
      <c r="F312" t="s">
        <v>136</v>
      </c>
      <c r="G312" t="s">
        <v>1183</v>
      </c>
      <c r="H312" t="s" cm="1">
        <v>1451</v>
      </c>
    </row>
    <row r="313" spans="1:11" x14ac:dyDescent="0.4">
      <c r="A313" t="s">
        <v>1184</v>
      </c>
      <c r="B313" t="s">
        <v>1637</v>
      </c>
      <c r="C313" t="s">
        <v>174</v>
      </c>
      <c r="D313" t="s">
        <v>175</v>
      </c>
      <c r="E313" t="s">
        <v>176</v>
      </c>
      <c r="F313" t="s">
        <v>177</v>
      </c>
      <c r="G313" t="s">
        <v>1185</v>
      </c>
      <c r="H313" t="s" cm="1">
        <v>1453</v>
      </c>
    </row>
    <row r="314" spans="1:11" x14ac:dyDescent="0.4">
      <c r="A314" t="s">
        <v>1186</v>
      </c>
      <c r="B314" t="s">
        <v>1638</v>
      </c>
      <c r="C314" t="s">
        <v>17</v>
      </c>
      <c r="D314" t="s">
        <v>134</v>
      </c>
      <c r="E314" t="s">
        <v>135</v>
      </c>
      <c r="F314" t="s">
        <v>136</v>
      </c>
      <c r="G314" t="s">
        <v>1187</v>
      </c>
      <c r="H314" t="s" cm="1">
        <v>1451</v>
      </c>
    </row>
    <row r="315" spans="1:11" x14ac:dyDescent="0.4">
      <c r="A315" t="s">
        <v>1188</v>
      </c>
      <c r="B315" t="s">
        <v>1639</v>
      </c>
      <c r="C315" t="s">
        <v>17</v>
      </c>
      <c r="D315" t="s">
        <v>134</v>
      </c>
      <c r="E315" t="s">
        <v>135</v>
      </c>
      <c r="F315" t="s">
        <v>136</v>
      </c>
      <c r="G315" t="s">
        <v>1189</v>
      </c>
      <c r="H315" t="s" cm="1">
        <v>1451</v>
      </c>
    </row>
    <row r="316" spans="1:11" x14ac:dyDescent="0.4">
      <c r="A316" t="s">
        <v>1190</v>
      </c>
      <c r="B316" t="s">
        <v>1530</v>
      </c>
      <c r="C316" t="s">
        <v>860</v>
      </c>
      <c r="D316" t="s">
        <v>861</v>
      </c>
      <c r="E316" t="s">
        <v>862</v>
      </c>
      <c r="F316" t="s">
        <v>466</v>
      </c>
      <c r="G316" t="s">
        <v>1191</v>
      </c>
      <c r="H316" t="s">
        <v>1455</v>
      </c>
    </row>
    <row r="317" spans="1:11" x14ac:dyDescent="0.4">
      <c r="A317" t="s">
        <v>1192</v>
      </c>
      <c r="B317" t="s">
        <v>1531</v>
      </c>
      <c r="C317" t="s">
        <v>190</v>
      </c>
      <c r="D317" t="s">
        <v>191</v>
      </c>
      <c r="E317" t="s">
        <v>192</v>
      </c>
      <c r="F317" t="s">
        <v>193</v>
      </c>
      <c r="G317" t="s">
        <v>1193</v>
      </c>
      <c r="H317" t="s" cm="1">
        <v>1450</v>
      </c>
    </row>
    <row r="318" spans="1:11" x14ac:dyDescent="0.4">
      <c r="A318" t="s">
        <v>1194</v>
      </c>
      <c r="B318" t="s">
        <v>1531</v>
      </c>
      <c r="C318" t="s">
        <v>190</v>
      </c>
      <c r="D318" t="s">
        <v>191</v>
      </c>
      <c r="E318" t="s">
        <v>192</v>
      </c>
      <c r="F318" t="s">
        <v>193</v>
      </c>
      <c r="G318" t="s">
        <v>1193</v>
      </c>
      <c r="H318" t="s" cm="1">
        <v>1450</v>
      </c>
    </row>
    <row r="319" spans="1:11" x14ac:dyDescent="0.4">
      <c r="A319" t="s">
        <v>1195</v>
      </c>
      <c r="B319" t="s">
        <v>1805</v>
      </c>
      <c r="C319" t="s">
        <v>22</v>
      </c>
      <c r="D319" t="s">
        <v>289</v>
      </c>
      <c r="E319" t="s">
        <v>290</v>
      </c>
      <c r="F319" t="s">
        <v>291</v>
      </c>
      <c r="G319" t="s">
        <v>1196</v>
      </c>
      <c r="H319" t="s" cm="1">
        <v>101</v>
      </c>
      <c r="I319" t="s">
        <v>1197</v>
      </c>
      <c r="J319" t="s">
        <v>1197</v>
      </c>
      <c r="K319" t="s">
        <v>1198</v>
      </c>
    </row>
    <row r="320" spans="1:11" x14ac:dyDescent="0.4">
      <c r="A320" t="s">
        <v>1199</v>
      </c>
      <c r="B320" t="s">
        <v>1640</v>
      </c>
      <c r="C320" t="s">
        <v>17</v>
      </c>
      <c r="D320" t="s">
        <v>134</v>
      </c>
      <c r="E320" t="s">
        <v>135</v>
      </c>
      <c r="F320" t="s">
        <v>136</v>
      </c>
      <c r="G320" t="s">
        <v>1200</v>
      </c>
      <c r="H320" t="s" cm="1">
        <v>1451</v>
      </c>
      <c r="I320" t="s">
        <v>363</v>
      </c>
      <c r="J320" t="s">
        <v>239</v>
      </c>
    </row>
    <row r="321" spans="1:10" x14ac:dyDescent="0.4">
      <c r="A321" t="s">
        <v>1201</v>
      </c>
      <c r="B321" t="s">
        <v>1532</v>
      </c>
      <c r="C321" t="s">
        <v>1202</v>
      </c>
      <c r="D321" t="s">
        <v>1203</v>
      </c>
      <c r="E321" t="s">
        <v>1204</v>
      </c>
      <c r="F321" t="s">
        <v>1205</v>
      </c>
      <c r="G321" t="s">
        <v>1206</v>
      </c>
      <c r="H321" t="s">
        <v>1455</v>
      </c>
    </row>
    <row r="322" spans="1:10" x14ac:dyDescent="0.4">
      <c r="A322" t="s">
        <v>1207</v>
      </c>
      <c r="B322" t="s">
        <v>1533</v>
      </c>
      <c r="C322" t="s">
        <v>20</v>
      </c>
      <c r="D322" t="s">
        <v>1208</v>
      </c>
      <c r="E322" t="s">
        <v>1209</v>
      </c>
      <c r="F322" t="s">
        <v>1210</v>
      </c>
      <c r="G322" t="s">
        <v>1211</v>
      </c>
      <c r="H322" t="s" cm="1">
        <v>101</v>
      </c>
    </row>
    <row r="323" spans="1:10" x14ac:dyDescent="0.4">
      <c r="A323" t="s">
        <v>1212</v>
      </c>
      <c r="B323" t="s">
        <v>1641</v>
      </c>
      <c r="C323" t="s">
        <v>17</v>
      </c>
      <c r="D323" t="s">
        <v>134</v>
      </c>
      <c r="E323" t="s">
        <v>135</v>
      </c>
      <c r="F323" t="s">
        <v>136</v>
      </c>
      <c r="G323" t="s">
        <v>1213</v>
      </c>
      <c r="H323" t="s" cm="1">
        <v>1451</v>
      </c>
      <c r="I323" t="s">
        <v>138</v>
      </c>
      <c r="J323" t="s">
        <v>239</v>
      </c>
    </row>
    <row r="324" spans="1:10" x14ac:dyDescent="0.4">
      <c r="A324" t="s">
        <v>1214</v>
      </c>
      <c r="B324" t="s">
        <v>1642</v>
      </c>
      <c r="C324" t="s">
        <v>17</v>
      </c>
      <c r="D324" t="s">
        <v>134</v>
      </c>
      <c r="E324" t="s">
        <v>135</v>
      </c>
      <c r="F324" t="s">
        <v>136</v>
      </c>
      <c r="G324" t="s">
        <v>1215</v>
      </c>
      <c r="H324" t="s" cm="1">
        <v>1451</v>
      </c>
    </row>
    <row r="325" spans="1:10" x14ac:dyDescent="0.4">
      <c r="A325" t="s">
        <v>1216</v>
      </c>
      <c r="B325" t="s">
        <v>1534</v>
      </c>
      <c r="C325" t="s">
        <v>94</v>
      </c>
      <c r="D325" t="s">
        <v>229</v>
      </c>
      <c r="E325" t="s">
        <v>230</v>
      </c>
      <c r="F325" t="s">
        <v>231</v>
      </c>
      <c r="G325" t="s">
        <v>1217</v>
      </c>
      <c r="H325" t="s" cm="1">
        <v>1450</v>
      </c>
      <c r="I325" t="s">
        <v>1218</v>
      </c>
    </row>
    <row r="326" spans="1:10" x14ac:dyDescent="0.4">
      <c r="A326" t="s">
        <v>1219</v>
      </c>
      <c r="B326" t="s">
        <v>1643</v>
      </c>
      <c r="C326" t="s">
        <v>174</v>
      </c>
      <c r="D326" t="s">
        <v>175</v>
      </c>
      <c r="E326" t="s">
        <v>176</v>
      </c>
      <c r="F326" t="s">
        <v>177</v>
      </c>
      <c r="G326" t="s">
        <v>1220</v>
      </c>
      <c r="H326" t="s" cm="1">
        <v>1453</v>
      </c>
    </row>
    <row r="327" spans="1:10" x14ac:dyDescent="0.4">
      <c r="A327" t="s">
        <v>1221</v>
      </c>
      <c r="B327" t="s">
        <v>1535</v>
      </c>
      <c r="C327" t="s">
        <v>1222</v>
      </c>
      <c r="D327" t="s">
        <v>1223</v>
      </c>
      <c r="E327" t="s">
        <v>1224</v>
      </c>
      <c r="F327" t="s">
        <v>1225</v>
      </c>
      <c r="G327" t="s">
        <v>1226</v>
      </c>
      <c r="H327" t="s">
        <v>1455</v>
      </c>
      <c r="J327" t="s">
        <v>1227</v>
      </c>
    </row>
    <row r="328" spans="1:10" x14ac:dyDescent="0.4">
      <c r="A328" t="s">
        <v>1228</v>
      </c>
      <c r="B328" t="s">
        <v>1536</v>
      </c>
      <c r="C328" t="s">
        <v>190</v>
      </c>
      <c r="D328" t="s">
        <v>191</v>
      </c>
      <c r="E328" t="s">
        <v>192</v>
      </c>
      <c r="F328" t="s">
        <v>193</v>
      </c>
      <c r="G328" t="s">
        <v>1229</v>
      </c>
      <c r="H328" t="s" cm="1">
        <v>1450</v>
      </c>
    </row>
    <row r="329" spans="1:10" x14ac:dyDescent="0.4">
      <c r="A329" t="s">
        <v>1230</v>
      </c>
      <c r="B329" t="s">
        <v>1644</v>
      </c>
      <c r="C329" t="s">
        <v>17</v>
      </c>
      <c r="D329" t="s">
        <v>134</v>
      </c>
      <c r="E329" t="s">
        <v>135</v>
      </c>
      <c r="F329" t="s">
        <v>136</v>
      </c>
      <c r="G329" t="s">
        <v>1231</v>
      </c>
      <c r="H329" t="s" cm="1">
        <v>1451</v>
      </c>
    </row>
    <row r="330" spans="1:10" x14ac:dyDescent="0.4">
      <c r="A330" t="s">
        <v>1232</v>
      </c>
      <c r="B330" t="s">
        <v>1537</v>
      </c>
      <c r="C330" t="s">
        <v>241</v>
      </c>
      <c r="D330" t="s">
        <v>242</v>
      </c>
      <c r="E330" t="s">
        <v>243</v>
      </c>
      <c r="F330" t="s">
        <v>244</v>
      </c>
      <c r="G330" t="s">
        <v>1233</v>
      </c>
      <c r="H330" t="s">
        <v>1455</v>
      </c>
    </row>
    <row r="331" spans="1:10" x14ac:dyDescent="0.4">
      <c r="A331" t="s">
        <v>1234</v>
      </c>
      <c r="B331" t="s">
        <v>1538</v>
      </c>
      <c r="C331" t="s">
        <v>93</v>
      </c>
      <c r="D331" t="s">
        <v>412</v>
      </c>
      <c r="E331" t="s">
        <v>413</v>
      </c>
      <c r="F331" t="s">
        <v>414</v>
      </c>
      <c r="G331" t="s">
        <v>1235</v>
      </c>
      <c r="H331" t="s" cm="1">
        <v>1450</v>
      </c>
    </row>
    <row r="332" spans="1:10" x14ac:dyDescent="0.4">
      <c r="A332" t="s">
        <v>1236</v>
      </c>
      <c r="B332" t="s">
        <v>1539</v>
      </c>
      <c r="C332" t="s">
        <v>1237</v>
      </c>
      <c r="D332" t="s">
        <v>1238</v>
      </c>
      <c r="E332" t="s">
        <v>1239</v>
      </c>
      <c r="F332" t="s">
        <v>331</v>
      </c>
      <c r="G332" t="s">
        <v>1240</v>
      </c>
      <c r="H332" t="s">
        <v>1455</v>
      </c>
      <c r="I332" t="s">
        <v>1241</v>
      </c>
      <c r="J332" t="s">
        <v>377</v>
      </c>
    </row>
    <row r="333" spans="1:10" x14ac:dyDescent="0.4">
      <c r="A333" t="s">
        <v>1242</v>
      </c>
      <c r="B333" t="s">
        <v>1645</v>
      </c>
      <c r="C333" t="s">
        <v>17</v>
      </c>
      <c r="D333" t="s">
        <v>134</v>
      </c>
      <c r="E333" t="s">
        <v>135</v>
      </c>
      <c r="F333" t="s">
        <v>136</v>
      </c>
      <c r="G333" t="s">
        <v>1243</v>
      </c>
      <c r="H333" t="s" cm="1">
        <v>1451</v>
      </c>
    </row>
    <row r="334" spans="1:10" x14ac:dyDescent="0.4">
      <c r="A334" t="s">
        <v>1244</v>
      </c>
      <c r="B334" t="s">
        <v>1540</v>
      </c>
      <c r="C334" t="s">
        <v>91</v>
      </c>
      <c r="D334" t="s">
        <v>1245</v>
      </c>
      <c r="E334" t="s">
        <v>1246</v>
      </c>
      <c r="F334" t="s">
        <v>1247</v>
      </c>
      <c r="G334" t="s">
        <v>1248</v>
      </c>
      <c r="H334" t="s" cm="1">
        <v>1450</v>
      </c>
      <c r="I334" t="s">
        <v>1249</v>
      </c>
    </row>
    <row r="335" spans="1:10" x14ac:dyDescent="0.4">
      <c r="A335" t="s">
        <v>1250</v>
      </c>
      <c r="B335" t="s">
        <v>1541</v>
      </c>
      <c r="C335" t="s">
        <v>860</v>
      </c>
      <c r="D335" t="s">
        <v>861</v>
      </c>
      <c r="E335" t="s">
        <v>862</v>
      </c>
      <c r="F335" t="s">
        <v>466</v>
      </c>
      <c r="G335" t="s">
        <v>1251</v>
      </c>
      <c r="H335" t="s">
        <v>1455</v>
      </c>
    </row>
    <row r="336" spans="1:10" x14ac:dyDescent="0.4">
      <c r="A336" t="s">
        <v>1252</v>
      </c>
      <c r="B336" t="s">
        <v>1646</v>
      </c>
      <c r="C336" t="s">
        <v>17</v>
      </c>
      <c r="D336" t="s">
        <v>134</v>
      </c>
      <c r="E336" t="s">
        <v>135</v>
      </c>
      <c r="F336" t="s">
        <v>136</v>
      </c>
      <c r="G336" t="s">
        <v>1253</v>
      </c>
      <c r="H336" t="s" cm="1">
        <v>1451</v>
      </c>
    </row>
    <row r="337" spans="1:10" x14ac:dyDescent="0.4">
      <c r="A337" t="s">
        <v>1254</v>
      </c>
      <c r="B337" t="s">
        <v>1647</v>
      </c>
      <c r="C337" t="s">
        <v>17</v>
      </c>
      <c r="D337" t="s">
        <v>134</v>
      </c>
      <c r="E337" t="s">
        <v>135</v>
      </c>
      <c r="F337" t="s">
        <v>136</v>
      </c>
      <c r="G337" t="s">
        <v>1255</v>
      </c>
      <c r="H337" t="s" cm="1">
        <v>1451</v>
      </c>
    </row>
    <row r="338" spans="1:10" x14ac:dyDescent="0.4">
      <c r="A338" t="s">
        <v>1256</v>
      </c>
      <c r="B338" t="s">
        <v>1542</v>
      </c>
      <c r="C338" t="s">
        <v>277</v>
      </c>
      <c r="D338" t="s">
        <v>278</v>
      </c>
      <c r="E338" t="s">
        <v>279</v>
      </c>
      <c r="F338" t="s">
        <v>280</v>
      </c>
      <c r="G338" t="s">
        <v>1257</v>
      </c>
      <c r="H338" t="s">
        <v>1455</v>
      </c>
    </row>
    <row r="339" spans="1:10" x14ac:dyDescent="0.4">
      <c r="A339" t="s">
        <v>1258</v>
      </c>
      <c r="B339" t="s">
        <v>1648</v>
      </c>
      <c r="C339" t="s">
        <v>174</v>
      </c>
      <c r="D339" t="s">
        <v>175</v>
      </c>
      <c r="E339" t="s">
        <v>176</v>
      </c>
      <c r="F339" t="s">
        <v>177</v>
      </c>
      <c r="G339" t="s">
        <v>1259</v>
      </c>
      <c r="H339" t="s" cm="1">
        <v>1453</v>
      </c>
      <c r="I339" t="s">
        <v>179</v>
      </c>
      <c r="J339" t="s">
        <v>208</v>
      </c>
    </row>
    <row r="340" spans="1:10" x14ac:dyDescent="0.4">
      <c r="A340" t="s">
        <v>1260</v>
      </c>
      <c r="B340" t="s">
        <v>1543</v>
      </c>
      <c r="C340" t="s">
        <v>1261</v>
      </c>
      <c r="D340" t="s">
        <v>1262</v>
      </c>
      <c r="E340" t="s">
        <v>1263</v>
      </c>
      <c r="F340" t="s">
        <v>1264</v>
      </c>
      <c r="G340" t="s">
        <v>1265</v>
      </c>
      <c r="H340" t="s">
        <v>1455</v>
      </c>
    </row>
    <row r="341" spans="1:10" x14ac:dyDescent="0.4">
      <c r="A341" t="s">
        <v>1266</v>
      </c>
      <c r="B341" t="s">
        <v>1649</v>
      </c>
      <c r="C341" t="s">
        <v>174</v>
      </c>
      <c r="D341" t="s">
        <v>175</v>
      </c>
      <c r="E341" t="s">
        <v>176</v>
      </c>
      <c r="F341" t="s">
        <v>177</v>
      </c>
      <c r="G341" t="s">
        <v>1267</v>
      </c>
      <c r="H341" t="s" cm="1">
        <v>1453</v>
      </c>
    </row>
    <row r="342" spans="1:10" x14ac:dyDescent="0.4">
      <c r="A342" t="s">
        <v>1268</v>
      </c>
      <c r="B342" t="s">
        <v>1650</v>
      </c>
      <c r="C342" t="s">
        <v>17</v>
      </c>
      <c r="D342" t="s">
        <v>134</v>
      </c>
      <c r="E342" t="s">
        <v>135</v>
      </c>
      <c r="F342" t="s">
        <v>136</v>
      </c>
      <c r="G342" t="s">
        <v>1269</v>
      </c>
      <c r="H342" t="s" cm="1">
        <v>1451</v>
      </c>
    </row>
    <row r="343" spans="1:10" x14ac:dyDescent="0.4">
      <c r="A343" t="s">
        <v>1270</v>
      </c>
      <c r="B343" t="s">
        <v>1544</v>
      </c>
      <c r="C343" t="s">
        <v>304</v>
      </c>
      <c r="D343" t="s">
        <v>305</v>
      </c>
      <c r="E343" t="s">
        <v>306</v>
      </c>
      <c r="F343" t="s">
        <v>307</v>
      </c>
      <c r="G343" t="s">
        <v>1271</v>
      </c>
      <c r="H343" t="s">
        <v>1455</v>
      </c>
    </row>
    <row r="344" spans="1:10" x14ac:dyDescent="0.4">
      <c r="A344" t="s">
        <v>1272</v>
      </c>
      <c r="B344" t="s">
        <v>1583</v>
      </c>
      <c r="C344" t="s">
        <v>344</v>
      </c>
      <c r="D344" t="s">
        <v>345</v>
      </c>
      <c r="E344" t="s">
        <v>346</v>
      </c>
      <c r="F344" t="s">
        <v>347</v>
      </c>
      <c r="G344" t="s">
        <v>1273</v>
      </c>
      <c r="H344" t="s" cm="1">
        <v>1452</v>
      </c>
    </row>
    <row r="345" spans="1:10" x14ac:dyDescent="0.4">
      <c r="A345" t="s">
        <v>1274</v>
      </c>
      <c r="B345" t="s">
        <v>1545</v>
      </c>
      <c r="C345" t="s">
        <v>241</v>
      </c>
      <c r="D345" t="s">
        <v>242</v>
      </c>
      <c r="E345" t="s">
        <v>243</v>
      </c>
      <c r="F345" t="s">
        <v>244</v>
      </c>
      <c r="G345" t="s">
        <v>1275</v>
      </c>
      <c r="H345" t="s">
        <v>1455</v>
      </c>
    </row>
    <row r="346" spans="1:10" x14ac:dyDescent="0.4">
      <c r="A346" t="s">
        <v>1276</v>
      </c>
      <c r="B346" t="s">
        <v>1546</v>
      </c>
      <c r="C346" t="s">
        <v>1277</v>
      </c>
      <c r="D346" t="s">
        <v>1278</v>
      </c>
      <c r="E346" t="s">
        <v>1279</v>
      </c>
      <c r="F346" t="s">
        <v>1280</v>
      </c>
      <c r="G346" t="s">
        <v>1281</v>
      </c>
      <c r="H346" t="s">
        <v>1455</v>
      </c>
    </row>
    <row r="347" spans="1:10" x14ac:dyDescent="0.4">
      <c r="A347" t="s">
        <v>1282</v>
      </c>
      <c r="B347" t="s">
        <v>1547</v>
      </c>
      <c r="C347" t="s">
        <v>1283</v>
      </c>
      <c r="D347" t="s">
        <v>1284</v>
      </c>
      <c r="E347" t="s">
        <v>1285</v>
      </c>
      <c r="F347" t="s">
        <v>1286</v>
      </c>
      <c r="G347" t="s">
        <v>1287</v>
      </c>
      <c r="H347" t="s">
        <v>1455</v>
      </c>
      <c r="I347" t="s">
        <v>1288</v>
      </c>
      <c r="J347" t="s">
        <v>208</v>
      </c>
    </row>
    <row r="348" spans="1:10" x14ac:dyDescent="0.4">
      <c r="A348" t="s">
        <v>1289</v>
      </c>
      <c r="B348" t="s">
        <v>1651</v>
      </c>
      <c r="C348" t="s">
        <v>17</v>
      </c>
      <c r="D348" t="s">
        <v>134</v>
      </c>
      <c r="E348" t="s">
        <v>135</v>
      </c>
      <c r="F348" t="s">
        <v>136</v>
      </c>
      <c r="G348" t="s">
        <v>1290</v>
      </c>
      <c r="H348" t="s" cm="1">
        <v>1451</v>
      </c>
    </row>
    <row r="349" spans="1:10" x14ac:dyDescent="0.4">
      <c r="A349" t="s">
        <v>1291</v>
      </c>
      <c r="B349" t="s">
        <v>1548</v>
      </c>
      <c r="C349" t="s">
        <v>1292</v>
      </c>
      <c r="D349" t="s">
        <v>1293</v>
      </c>
      <c r="E349" t="s">
        <v>1294</v>
      </c>
      <c r="F349" t="s">
        <v>1295</v>
      </c>
      <c r="G349" t="s">
        <v>1296</v>
      </c>
      <c r="H349" t="s">
        <v>1455</v>
      </c>
    </row>
    <row r="350" spans="1:10" x14ac:dyDescent="0.4">
      <c r="A350" t="s">
        <v>1297</v>
      </c>
      <c r="B350" t="s">
        <v>1652</v>
      </c>
      <c r="C350" t="s">
        <v>174</v>
      </c>
      <c r="D350" t="s">
        <v>175</v>
      </c>
      <c r="E350" t="s">
        <v>176</v>
      </c>
      <c r="F350" t="s">
        <v>177</v>
      </c>
      <c r="G350" t="s">
        <v>1298</v>
      </c>
      <c r="H350" t="s" cm="1">
        <v>1453</v>
      </c>
    </row>
    <row r="351" spans="1:10" x14ac:dyDescent="0.4">
      <c r="A351" t="s">
        <v>1299</v>
      </c>
      <c r="B351" t="s">
        <v>1549</v>
      </c>
      <c r="C351" t="s">
        <v>1300</v>
      </c>
      <c r="D351" t="s">
        <v>1301</v>
      </c>
      <c r="E351" t="s">
        <v>1302</v>
      </c>
      <c r="F351" t="s">
        <v>1303</v>
      </c>
      <c r="G351" t="s">
        <v>1304</v>
      </c>
      <c r="H351" t="s" cm="1">
        <v>1454</v>
      </c>
      <c r="I351" t="s">
        <v>1305</v>
      </c>
    </row>
    <row r="352" spans="1:10" x14ac:dyDescent="0.4">
      <c r="A352" t="s">
        <v>1306</v>
      </c>
      <c r="B352" t="s">
        <v>1550</v>
      </c>
      <c r="C352" t="s">
        <v>1307</v>
      </c>
      <c r="D352" t="s">
        <v>1308</v>
      </c>
      <c r="E352" t="s">
        <v>1309</v>
      </c>
      <c r="F352" t="s">
        <v>1310</v>
      </c>
      <c r="G352" t="s">
        <v>1311</v>
      </c>
      <c r="H352" t="s">
        <v>1455</v>
      </c>
    </row>
    <row r="353" spans="1:11" x14ac:dyDescent="0.4">
      <c r="A353" t="s">
        <v>1312</v>
      </c>
      <c r="B353" t="s">
        <v>1551</v>
      </c>
      <c r="C353" t="s">
        <v>344</v>
      </c>
      <c r="D353" t="s">
        <v>345</v>
      </c>
      <c r="E353" t="s">
        <v>346</v>
      </c>
      <c r="F353" t="s">
        <v>347</v>
      </c>
      <c r="G353" t="s">
        <v>1313</v>
      </c>
      <c r="H353" t="s" cm="1">
        <v>1452</v>
      </c>
    </row>
    <row r="354" spans="1:11" x14ac:dyDescent="0.4">
      <c r="A354" t="s">
        <v>1314</v>
      </c>
      <c r="B354" t="s">
        <v>1552</v>
      </c>
      <c r="C354" t="s">
        <v>1315</v>
      </c>
      <c r="D354" t="s">
        <v>1316</v>
      </c>
      <c r="E354" t="s">
        <v>1317</v>
      </c>
      <c r="F354" t="s">
        <v>1318</v>
      </c>
      <c r="G354" t="s">
        <v>1319</v>
      </c>
      <c r="H354" t="s">
        <v>1455</v>
      </c>
      <c r="I354" t="s">
        <v>165</v>
      </c>
    </row>
    <row r="355" spans="1:11" x14ac:dyDescent="0.4">
      <c r="A355" t="s">
        <v>1320</v>
      </c>
      <c r="B355" t="s">
        <v>1553</v>
      </c>
      <c r="C355" t="s">
        <v>190</v>
      </c>
      <c r="D355" t="s">
        <v>191</v>
      </c>
      <c r="E355" t="s">
        <v>192</v>
      </c>
      <c r="F355" t="s">
        <v>193</v>
      </c>
      <c r="G355" t="s">
        <v>1321</v>
      </c>
      <c r="H355" t="s" cm="1">
        <v>1450</v>
      </c>
      <c r="I355" t="s">
        <v>1079</v>
      </c>
    </row>
    <row r="356" spans="1:11" x14ac:dyDescent="0.4">
      <c r="A356" t="s">
        <v>1322</v>
      </c>
      <c r="B356" t="s">
        <v>1554</v>
      </c>
      <c r="C356" t="s">
        <v>21</v>
      </c>
      <c r="D356" t="s">
        <v>1323</v>
      </c>
      <c r="E356" t="s">
        <v>1324</v>
      </c>
      <c r="F356" t="s">
        <v>1325</v>
      </c>
      <c r="G356" t="s">
        <v>1326</v>
      </c>
      <c r="H356" t="s" cm="1">
        <v>101</v>
      </c>
      <c r="K356" t="s">
        <v>1327</v>
      </c>
    </row>
    <row r="357" spans="1:11" x14ac:dyDescent="0.4">
      <c r="A357" t="s">
        <v>1328</v>
      </c>
      <c r="B357" t="s">
        <v>1555</v>
      </c>
      <c r="C357" t="s">
        <v>1329</v>
      </c>
      <c r="D357" t="s">
        <v>1330</v>
      </c>
      <c r="E357" t="s">
        <v>1331</v>
      </c>
      <c r="F357" t="s">
        <v>1332</v>
      </c>
      <c r="G357" t="s">
        <v>1333</v>
      </c>
      <c r="H357" t="s">
        <v>1455</v>
      </c>
    </row>
    <row r="358" spans="1:11" x14ac:dyDescent="0.4">
      <c r="A358" t="s">
        <v>1334</v>
      </c>
      <c r="B358" t="s">
        <v>1556</v>
      </c>
      <c r="C358" t="s">
        <v>93</v>
      </c>
      <c r="D358" t="s">
        <v>412</v>
      </c>
      <c r="E358" t="s">
        <v>413</v>
      </c>
      <c r="F358" t="s">
        <v>414</v>
      </c>
      <c r="G358" t="s">
        <v>1335</v>
      </c>
      <c r="H358" t="s" cm="1">
        <v>1450</v>
      </c>
      <c r="I358" t="s">
        <v>1126</v>
      </c>
    </row>
    <row r="359" spans="1:11" x14ac:dyDescent="0.4">
      <c r="A359" t="s">
        <v>1336</v>
      </c>
      <c r="B359" t="s">
        <v>1557</v>
      </c>
      <c r="C359" t="s">
        <v>1337</v>
      </c>
      <c r="D359" t="s">
        <v>1338</v>
      </c>
      <c r="E359" t="s">
        <v>1339</v>
      </c>
      <c r="F359" t="s">
        <v>1340</v>
      </c>
      <c r="G359" t="s">
        <v>1341</v>
      </c>
      <c r="H359" t="s">
        <v>1455</v>
      </c>
    </row>
    <row r="360" spans="1:11" x14ac:dyDescent="0.4">
      <c r="A360" t="s">
        <v>1342</v>
      </c>
      <c r="B360" t="s">
        <v>1558</v>
      </c>
      <c r="C360" t="s">
        <v>563</v>
      </c>
      <c r="D360" t="s">
        <v>564</v>
      </c>
      <c r="E360" t="s">
        <v>565</v>
      </c>
      <c r="F360" t="s">
        <v>566</v>
      </c>
      <c r="G360" t="s">
        <v>1343</v>
      </c>
      <c r="H360" t="s">
        <v>1455</v>
      </c>
      <c r="I360" t="s">
        <v>1344</v>
      </c>
    </row>
    <row r="361" spans="1:11" x14ac:dyDescent="0.4">
      <c r="A361" t="s">
        <v>1345</v>
      </c>
      <c r="B361" t="s">
        <v>1653</v>
      </c>
      <c r="C361" t="s">
        <v>174</v>
      </c>
      <c r="D361" t="s">
        <v>175</v>
      </c>
      <c r="E361" t="s">
        <v>176</v>
      </c>
      <c r="F361" t="s">
        <v>177</v>
      </c>
      <c r="G361" t="s">
        <v>1346</v>
      </c>
      <c r="H361" t="s" cm="1">
        <v>1453</v>
      </c>
    </row>
    <row r="362" spans="1:11" x14ac:dyDescent="0.4">
      <c r="A362" t="s">
        <v>1347</v>
      </c>
      <c r="B362" t="s">
        <v>1559</v>
      </c>
      <c r="C362" t="s">
        <v>1348</v>
      </c>
      <c r="D362" t="s">
        <v>1349</v>
      </c>
      <c r="E362" t="s">
        <v>1350</v>
      </c>
      <c r="F362" t="s">
        <v>1351</v>
      </c>
      <c r="G362" t="s">
        <v>1352</v>
      </c>
      <c r="H362" t="s">
        <v>1455</v>
      </c>
      <c r="I362" t="s">
        <v>1353</v>
      </c>
    </row>
    <row r="363" spans="1:11" x14ac:dyDescent="0.4">
      <c r="A363" t="s">
        <v>1354</v>
      </c>
      <c r="B363" t="s">
        <v>1654</v>
      </c>
      <c r="C363" t="s">
        <v>174</v>
      </c>
      <c r="D363" t="s">
        <v>175</v>
      </c>
      <c r="E363" t="s">
        <v>176</v>
      </c>
      <c r="F363" t="s">
        <v>177</v>
      </c>
      <c r="G363" t="s">
        <v>1355</v>
      </c>
      <c r="H363" t="s" cm="1">
        <v>1453</v>
      </c>
    </row>
    <row r="364" spans="1:11" x14ac:dyDescent="0.4">
      <c r="A364" t="s">
        <v>1356</v>
      </c>
      <c r="B364" t="s">
        <v>1661</v>
      </c>
      <c r="C364" t="s">
        <v>17</v>
      </c>
      <c r="D364" t="s">
        <v>134</v>
      </c>
      <c r="E364" t="s">
        <v>135</v>
      </c>
      <c r="F364" t="s">
        <v>136</v>
      </c>
      <c r="G364" t="s">
        <v>1357</v>
      </c>
      <c r="H364" t="s" cm="1">
        <v>1451</v>
      </c>
      <c r="I364" t="s">
        <v>363</v>
      </c>
      <c r="J364" t="s">
        <v>239</v>
      </c>
    </row>
    <row r="365" spans="1:11" x14ac:dyDescent="0.4">
      <c r="A365" t="s">
        <v>1358</v>
      </c>
      <c r="B365" t="s">
        <v>1584</v>
      </c>
      <c r="C365" t="s">
        <v>283</v>
      </c>
      <c r="D365" t="s">
        <v>284</v>
      </c>
      <c r="E365" t="s">
        <v>285</v>
      </c>
      <c r="F365" t="s">
        <v>286</v>
      </c>
      <c r="G365" t="s">
        <v>1359</v>
      </c>
      <c r="H365" t="s" cm="1">
        <v>1452</v>
      </c>
    </row>
    <row r="366" spans="1:11" x14ac:dyDescent="0.4">
      <c r="A366" t="s">
        <v>1360</v>
      </c>
      <c r="B366" t="s">
        <v>1560</v>
      </c>
      <c r="C366" t="s">
        <v>328</v>
      </c>
      <c r="D366" t="s">
        <v>329</v>
      </c>
      <c r="E366" t="s">
        <v>330</v>
      </c>
      <c r="F366" t="s">
        <v>331</v>
      </c>
      <c r="G366" t="s">
        <v>1361</v>
      </c>
      <c r="H366" t="s">
        <v>1455</v>
      </c>
    </row>
    <row r="367" spans="1:11" x14ac:dyDescent="0.4">
      <c r="A367" t="s">
        <v>1362</v>
      </c>
      <c r="B367" t="s">
        <v>1561</v>
      </c>
      <c r="C367" t="s">
        <v>1363</v>
      </c>
      <c r="D367" t="s">
        <v>1364</v>
      </c>
      <c r="E367" t="s">
        <v>1365</v>
      </c>
      <c r="F367" t="s">
        <v>1366</v>
      </c>
      <c r="G367" t="s">
        <v>1367</v>
      </c>
      <c r="H367" t="s">
        <v>1455</v>
      </c>
    </row>
    <row r="368" spans="1:11" x14ac:dyDescent="0.4">
      <c r="A368" t="s">
        <v>1368</v>
      </c>
      <c r="B368" t="s">
        <v>1462</v>
      </c>
      <c r="C368" t="s">
        <v>705</v>
      </c>
      <c r="D368" t="s">
        <v>706</v>
      </c>
      <c r="E368" t="s">
        <v>707</v>
      </c>
      <c r="F368" t="s">
        <v>708</v>
      </c>
      <c r="G368" t="s">
        <v>1369</v>
      </c>
      <c r="H368" t="s" cm="1">
        <v>1454</v>
      </c>
      <c r="J368" t="s">
        <v>1370</v>
      </c>
      <c r="K368" t="s">
        <v>1371</v>
      </c>
    </row>
    <row r="369" spans="1:10" x14ac:dyDescent="0.4">
      <c r="A369" t="s">
        <v>1372</v>
      </c>
      <c r="B369" t="s">
        <v>1562</v>
      </c>
      <c r="C369" t="s">
        <v>1373</v>
      </c>
      <c r="D369" t="s">
        <v>1374</v>
      </c>
      <c r="E369" t="s">
        <v>1375</v>
      </c>
      <c r="F369" t="s">
        <v>1376</v>
      </c>
      <c r="G369" t="s">
        <v>1377</v>
      </c>
      <c r="H369" t="s">
        <v>1455</v>
      </c>
      <c r="I369" t="s">
        <v>1378</v>
      </c>
    </row>
    <row r="370" spans="1:10" x14ac:dyDescent="0.4">
      <c r="A370" t="s">
        <v>1379</v>
      </c>
      <c r="B370" t="s">
        <v>1563</v>
      </c>
      <c r="C370" t="s">
        <v>1222</v>
      </c>
      <c r="D370" t="s">
        <v>1223</v>
      </c>
      <c r="E370" t="s">
        <v>1224</v>
      </c>
      <c r="F370" t="s">
        <v>1225</v>
      </c>
      <c r="G370" t="s">
        <v>1380</v>
      </c>
      <c r="H370" t="s">
        <v>1455</v>
      </c>
      <c r="I370" t="s">
        <v>1381</v>
      </c>
      <c r="J370" t="s">
        <v>1227</v>
      </c>
    </row>
    <row r="371" spans="1:10" x14ac:dyDescent="0.4">
      <c r="A371" t="s">
        <v>1382</v>
      </c>
      <c r="B371" t="s">
        <v>1585</v>
      </c>
      <c r="C371" t="s">
        <v>283</v>
      </c>
      <c r="D371" t="s">
        <v>284</v>
      </c>
      <c r="E371" t="s">
        <v>285</v>
      </c>
      <c r="F371" t="s">
        <v>286</v>
      </c>
      <c r="G371" t="s">
        <v>1383</v>
      </c>
      <c r="H371" t="s" cm="1">
        <v>1452</v>
      </c>
    </row>
    <row r="372" spans="1:10" x14ac:dyDescent="0.4">
      <c r="A372" t="s">
        <v>1384</v>
      </c>
      <c r="B372" t="s">
        <v>1564</v>
      </c>
      <c r="C372" t="s">
        <v>1385</v>
      </c>
      <c r="D372" t="s">
        <v>1386</v>
      </c>
      <c r="E372" t="s">
        <v>1387</v>
      </c>
      <c r="F372" t="s">
        <v>1388</v>
      </c>
      <c r="G372" t="s">
        <v>1389</v>
      </c>
      <c r="H372" t="s">
        <v>1455</v>
      </c>
    </row>
    <row r="373" spans="1:10" x14ac:dyDescent="0.4">
      <c r="A373" t="s">
        <v>1390</v>
      </c>
      <c r="B373" t="s">
        <v>1565</v>
      </c>
      <c r="C373" t="s">
        <v>1391</v>
      </c>
      <c r="D373" t="s">
        <v>1392</v>
      </c>
      <c r="E373" t="s">
        <v>1393</v>
      </c>
      <c r="F373" t="s">
        <v>649</v>
      </c>
      <c r="G373" t="s">
        <v>1394</v>
      </c>
      <c r="H373" t="s" cm="1">
        <v>1454</v>
      </c>
    </row>
    <row r="374" spans="1:10" x14ac:dyDescent="0.4">
      <c r="A374" t="s">
        <v>1395</v>
      </c>
      <c r="B374" t="s">
        <v>1655</v>
      </c>
      <c r="C374" t="s">
        <v>17</v>
      </c>
      <c r="D374" t="s">
        <v>134</v>
      </c>
      <c r="E374" t="s">
        <v>135</v>
      </c>
      <c r="F374" t="s">
        <v>136</v>
      </c>
      <c r="G374" t="s">
        <v>1396</v>
      </c>
      <c r="H374" t="s" cm="1">
        <v>1451</v>
      </c>
    </row>
    <row r="375" spans="1:10" x14ac:dyDescent="0.4">
      <c r="A375" t="s">
        <v>1397</v>
      </c>
      <c r="B375" t="s">
        <v>1566</v>
      </c>
      <c r="C375" t="s">
        <v>1398</v>
      </c>
      <c r="D375" t="s">
        <v>1399</v>
      </c>
      <c r="E375" t="s">
        <v>1400</v>
      </c>
      <c r="F375" t="s">
        <v>1401</v>
      </c>
      <c r="G375" t="s">
        <v>1402</v>
      </c>
      <c r="H375" t="s">
        <v>1455</v>
      </c>
    </row>
    <row r="376" spans="1:10" x14ac:dyDescent="0.4">
      <c r="A376" t="s">
        <v>1403</v>
      </c>
      <c r="B376" t="s">
        <v>1567</v>
      </c>
      <c r="C376" t="s">
        <v>1373</v>
      </c>
      <c r="D376" t="s">
        <v>1374</v>
      </c>
      <c r="E376" t="s">
        <v>1375</v>
      </c>
      <c r="F376" t="s">
        <v>1376</v>
      </c>
      <c r="G376" t="s">
        <v>1404</v>
      </c>
      <c r="H376" t="s">
        <v>1455</v>
      </c>
    </row>
    <row r="377" spans="1:10" x14ac:dyDescent="0.4">
      <c r="A377" t="s">
        <v>1405</v>
      </c>
      <c r="B377" t="s">
        <v>1662</v>
      </c>
      <c r="C377" t="s">
        <v>17</v>
      </c>
      <c r="D377" t="s">
        <v>134</v>
      </c>
      <c r="E377" t="s">
        <v>135</v>
      </c>
      <c r="F377" t="s">
        <v>136</v>
      </c>
      <c r="G377" t="s">
        <v>1406</v>
      </c>
      <c r="H377" t="s" cm="1">
        <v>1451</v>
      </c>
    </row>
    <row r="378" spans="1:10" x14ac:dyDescent="0.4">
      <c r="A378" t="s">
        <v>1407</v>
      </c>
      <c r="B378" t="s">
        <v>1568</v>
      </c>
      <c r="C378" t="s">
        <v>585</v>
      </c>
      <c r="D378" t="s">
        <v>586</v>
      </c>
      <c r="E378" t="s">
        <v>587</v>
      </c>
      <c r="F378" t="s">
        <v>454</v>
      </c>
      <c r="G378" t="s">
        <v>1408</v>
      </c>
      <c r="H378" t="s">
        <v>1455</v>
      </c>
      <c r="I378" t="s">
        <v>1409</v>
      </c>
      <c r="J378" t="s">
        <v>208</v>
      </c>
    </row>
    <row r="379" spans="1:10" x14ac:dyDescent="0.4">
      <c r="A379" t="s">
        <v>1410</v>
      </c>
      <c r="B379" t="s">
        <v>1656</v>
      </c>
      <c r="C379" t="s">
        <v>174</v>
      </c>
      <c r="D379" t="s">
        <v>175</v>
      </c>
      <c r="E379" t="s">
        <v>176</v>
      </c>
      <c r="F379" t="s">
        <v>177</v>
      </c>
      <c r="G379" t="s">
        <v>1411</v>
      </c>
      <c r="H379" t="s" cm="1">
        <v>1453</v>
      </c>
    </row>
    <row r="380" spans="1:10" x14ac:dyDescent="0.4">
      <c r="A380" t="s">
        <v>1412</v>
      </c>
      <c r="B380" t="s">
        <v>1569</v>
      </c>
      <c r="C380" t="s">
        <v>304</v>
      </c>
      <c r="D380" t="s">
        <v>305</v>
      </c>
      <c r="E380" t="s">
        <v>306</v>
      </c>
      <c r="F380" t="s">
        <v>307</v>
      </c>
      <c r="G380" t="s">
        <v>1413</v>
      </c>
      <c r="H380" t="s">
        <v>1455</v>
      </c>
      <c r="I380" t="s">
        <v>309</v>
      </c>
    </row>
    <row r="381" spans="1:10" x14ac:dyDescent="0.4">
      <c r="A381" t="s">
        <v>1414</v>
      </c>
      <c r="B381" t="s">
        <v>1570</v>
      </c>
      <c r="C381" t="s">
        <v>585</v>
      </c>
      <c r="D381" t="s">
        <v>586</v>
      </c>
      <c r="E381" t="s">
        <v>587</v>
      </c>
      <c r="F381" t="s">
        <v>454</v>
      </c>
      <c r="G381" t="s">
        <v>1415</v>
      </c>
      <c r="H381" t="s">
        <v>1455</v>
      </c>
    </row>
    <row r="382" spans="1:10" x14ac:dyDescent="0.4">
      <c r="A382" t="s">
        <v>1416</v>
      </c>
      <c r="B382" t="s">
        <v>1463</v>
      </c>
      <c r="C382" t="s">
        <v>97</v>
      </c>
      <c r="D382" t="s">
        <v>1417</v>
      </c>
      <c r="E382" t="s">
        <v>1418</v>
      </c>
      <c r="F382" t="s">
        <v>1419</v>
      </c>
      <c r="G382" t="s">
        <v>1420</v>
      </c>
      <c r="H382" t="s" cm="1">
        <v>101</v>
      </c>
      <c r="I382" t="s">
        <v>1421</v>
      </c>
    </row>
    <row r="383" spans="1:10" x14ac:dyDescent="0.4">
      <c r="A383" t="s">
        <v>1422</v>
      </c>
      <c r="B383" t="s">
        <v>1663</v>
      </c>
      <c r="C383" t="s">
        <v>17</v>
      </c>
      <c r="D383" t="s">
        <v>134</v>
      </c>
      <c r="E383" t="s">
        <v>135</v>
      </c>
      <c r="F383" t="s">
        <v>136</v>
      </c>
      <c r="G383" t="s">
        <v>1423</v>
      </c>
      <c r="H383" t="s" cm="1">
        <v>1451</v>
      </c>
    </row>
    <row r="384" spans="1:10" x14ac:dyDescent="0.4">
      <c r="A384" t="s">
        <v>1424</v>
      </c>
      <c r="B384" t="s">
        <v>1657</v>
      </c>
      <c r="C384" t="s">
        <v>174</v>
      </c>
      <c r="D384" t="s">
        <v>175</v>
      </c>
      <c r="E384" t="s">
        <v>176</v>
      </c>
      <c r="F384" t="s">
        <v>177</v>
      </c>
      <c r="G384" t="s">
        <v>1425</v>
      </c>
      <c r="H384" t="s" cm="1">
        <v>1453</v>
      </c>
    </row>
    <row r="385" spans="1:11" x14ac:dyDescent="0.4">
      <c r="A385" t="s">
        <v>1426</v>
      </c>
      <c r="B385" t="s">
        <v>1586</v>
      </c>
      <c r="C385" t="s">
        <v>807</v>
      </c>
      <c r="D385" t="s">
        <v>808</v>
      </c>
      <c r="E385" t="s">
        <v>809</v>
      </c>
      <c r="F385" t="s">
        <v>810</v>
      </c>
      <c r="G385" t="s">
        <v>1427</v>
      </c>
      <c r="H385" t="s" cm="1">
        <v>1452</v>
      </c>
    </row>
    <row r="386" spans="1:11" x14ac:dyDescent="0.4">
      <c r="A386" t="s">
        <v>1428</v>
      </c>
      <c r="B386" t="s">
        <v>1571</v>
      </c>
      <c r="C386" t="s">
        <v>1429</v>
      </c>
      <c r="D386" t="s">
        <v>1430</v>
      </c>
      <c r="E386" t="s">
        <v>1431</v>
      </c>
      <c r="F386" t="s">
        <v>1432</v>
      </c>
      <c r="G386" t="s">
        <v>1433</v>
      </c>
      <c r="H386" t="s">
        <v>1455</v>
      </c>
    </row>
    <row r="387" spans="1:11" x14ac:dyDescent="0.4">
      <c r="A387" t="s">
        <v>1434</v>
      </c>
      <c r="B387" t="s">
        <v>1664</v>
      </c>
      <c r="C387" t="s">
        <v>17</v>
      </c>
      <c r="D387" t="s">
        <v>134</v>
      </c>
      <c r="E387" t="s">
        <v>135</v>
      </c>
      <c r="F387" t="s">
        <v>136</v>
      </c>
      <c r="G387" t="s">
        <v>1435</v>
      </c>
      <c r="H387" t="s" cm="1">
        <v>1451</v>
      </c>
    </row>
    <row r="388" spans="1:11" x14ac:dyDescent="0.4">
      <c r="A388" t="s">
        <v>1436</v>
      </c>
      <c r="B388" t="s">
        <v>1664</v>
      </c>
      <c r="C388" t="s">
        <v>17</v>
      </c>
      <c r="D388" t="s">
        <v>134</v>
      </c>
      <c r="E388" t="s">
        <v>135</v>
      </c>
      <c r="F388" t="s">
        <v>136</v>
      </c>
      <c r="G388" t="s">
        <v>1435</v>
      </c>
      <c r="H388" t="s" cm="1">
        <v>1451</v>
      </c>
    </row>
    <row r="389" spans="1:11" x14ac:dyDescent="0.4">
      <c r="A389" t="s">
        <v>1437</v>
      </c>
      <c r="B389" t="s">
        <v>1658</v>
      </c>
      <c r="C389" t="s">
        <v>174</v>
      </c>
      <c r="D389" t="s">
        <v>175</v>
      </c>
      <c r="E389" t="s">
        <v>176</v>
      </c>
      <c r="F389" t="s">
        <v>177</v>
      </c>
      <c r="G389" t="s">
        <v>1438</v>
      </c>
      <c r="H389" t="s" cm="1">
        <v>1453</v>
      </c>
    </row>
    <row r="390" spans="1:11" x14ac:dyDescent="0.4">
      <c r="A390" t="s">
        <v>1439</v>
      </c>
      <c r="B390" t="s">
        <v>1464</v>
      </c>
      <c r="C390" t="s">
        <v>417</v>
      </c>
      <c r="D390" t="s">
        <v>418</v>
      </c>
      <c r="E390" t="s">
        <v>419</v>
      </c>
      <c r="F390" t="s">
        <v>420</v>
      </c>
      <c r="G390" t="s">
        <v>1440</v>
      </c>
      <c r="H390" t="s">
        <v>1455</v>
      </c>
      <c r="K390" t="s">
        <v>1441</v>
      </c>
    </row>
    <row r="391" spans="1:11" x14ac:dyDescent="0.4">
      <c r="A391" t="s">
        <v>1442</v>
      </c>
      <c r="B391" t="s">
        <v>1572</v>
      </c>
      <c r="C391" t="s">
        <v>94</v>
      </c>
      <c r="D391" t="s">
        <v>229</v>
      </c>
      <c r="E391" t="s">
        <v>230</v>
      </c>
      <c r="F391" t="s">
        <v>231</v>
      </c>
      <c r="G391" t="s">
        <v>1443</v>
      </c>
      <c r="H391" t="s" cm="1">
        <v>1450</v>
      </c>
    </row>
    <row r="392" spans="1:11" x14ac:dyDescent="0.4">
      <c r="A392" t="s">
        <v>1444</v>
      </c>
      <c r="B392" t="s">
        <v>1573</v>
      </c>
      <c r="C392" t="s">
        <v>328</v>
      </c>
      <c r="D392" t="s">
        <v>329</v>
      </c>
      <c r="E392" t="s">
        <v>330</v>
      </c>
      <c r="F392" t="s">
        <v>331</v>
      </c>
      <c r="G392" t="s">
        <v>1445</v>
      </c>
      <c r="H392" t="s">
        <v>1455</v>
      </c>
    </row>
    <row r="393" spans="1:11" x14ac:dyDescent="0.4">
      <c r="A393" t="s">
        <v>1446</v>
      </c>
      <c r="B393" t="s">
        <v>1771</v>
      </c>
      <c r="C393" t="s">
        <v>146</v>
      </c>
      <c r="D393" t="s">
        <v>147</v>
      </c>
      <c r="E393" t="s">
        <v>148</v>
      </c>
      <c r="F393" t="s">
        <v>149</v>
      </c>
      <c r="G393" t="s">
        <v>1447</v>
      </c>
      <c r="H393" t="s" cm="1">
        <v>1452</v>
      </c>
    </row>
    <row r="394" spans="1:11" x14ac:dyDescent="0.4">
      <c r="A394" t="s">
        <v>1448</v>
      </c>
      <c r="B394" t="s">
        <v>1574</v>
      </c>
      <c r="C394" t="s">
        <v>579</v>
      </c>
      <c r="D394" t="s">
        <v>580</v>
      </c>
      <c r="E394" t="s">
        <v>581</v>
      </c>
      <c r="F394" t="s">
        <v>582</v>
      </c>
      <c r="G394" t="s">
        <v>1449</v>
      </c>
      <c r="H394" t="s">
        <v>1455</v>
      </c>
    </row>
  </sheetData>
  <autoFilter ref="A1:M394" xr:uid="{46ABCF45-DFF4-48AA-8D54-7EA8A4E1EED3}"/>
  <phoneticPr fontId="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13CEB-FAB8-4E3E-B35C-F2FBB0F40142}">
  <sheetPr codeName="Sheet17">
    <tabColor theme="5" tint="-0.249977111117893"/>
  </sheetPr>
  <dimension ref="A1:M3"/>
  <sheetViews>
    <sheetView workbookViewId="0">
      <selection activeCell="O6" sqref="O6"/>
    </sheetView>
  </sheetViews>
  <sheetFormatPr defaultRowHeight="18.75" x14ac:dyDescent="0.4"/>
  <sheetData>
    <row r="1" spans="1:13" ht="19.5" thickBot="1" x14ac:dyDescent="0.45">
      <c r="A1" s="3">
        <f>COUNTA(A4:A300)</f>
        <v>0</v>
      </c>
    </row>
    <row r="3" spans="1:13"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sheetData>
  <autoFilter ref="A3:G3" xr:uid="{53013CEB-FAB8-4E3E-B35C-F2FBB0F40142}"/>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5F25E-A4A0-47AD-9061-C42741396706}">
  <sheetPr codeName="Sheet12">
    <tabColor rgb="FF00B0F0"/>
  </sheetPr>
  <dimension ref="A1:M43"/>
  <sheetViews>
    <sheetView workbookViewId="0">
      <selection activeCell="H4" sqref="H4:M1048576"/>
    </sheetView>
  </sheetViews>
  <sheetFormatPr defaultRowHeight="18.75" x14ac:dyDescent="0.4"/>
  <cols>
    <col min="1" max="2" width="9.25" bestFit="1" customWidth="1"/>
    <col min="3" max="3" width="11.25" bestFit="1" customWidth="1"/>
    <col min="4" max="5" width="7.375" bestFit="1" customWidth="1"/>
    <col min="6" max="6" width="9.375" bestFit="1" customWidth="1"/>
    <col min="7" max="7" width="10.75" bestFit="1" customWidth="1"/>
  </cols>
  <sheetData>
    <row r="1" spans="1:13" ht="19.5" thickBot="1" x14ac:dyDescent="0.45">
      <c r="A1" s="3">
        <f>COUNTA(A4:A222)</f>
        <v>40</v>
      </c>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x14ac:dyDescent="0.4">
      <c r="A4" t="s">
        <v>145</v>
      </c>
      <c r="B4" t="s">
        <v>1575</v>
      </c>
      <c r="C4" t="s">
        <v>146</v>
      </c>
      <c r="D4" t="s">
        <v>147</v>
      </c>
      <c r="E4" t="s">
        <v>148</v>
      </c>
      <c r="F4" t="s">
        <v>149</v>
      </c>
      <c r="G4" t="s">
        <v>150</v>
      </c>
    </row>
    <row r="5" spans="1:13" x14ac:dyDescent="0.4">
      <c r="A5" t="s">
        <v>251</v>
      </c>
      <c r="B5" t="s">
        <v>1673</v>
      </c>
      <c r="C5" t="s">
        <v>252</v>
      </c>
      <c r="D5" t="s">
        <v>253</v>
      </c>
      <c r="E5" t="s">
        <v>254</v>
      </c>
      <c r="F5" t="s">
        <v>255</v>
      </c>
      <c r="G5" t="s">
        <v>256</v>
      </c>
    </row>
    <row r="6" spans="1:13" x14ac:dyDescent="0.4">
      <c r="A6" t="s">
        <v>274</v>
      </c>
      <c r="B6" t="s">
        <v>1740</v>
      </c>
      <c r="C6" t="s">
        <v>146</v>
      </c>
      <c r="D6" t="s">
        <v>147</v>
      </c>
      <c r="E6" t="s">
        <v>148</v>
      </c>
      <c r="F6" t="s">
        <v>149</v>
      </c>
      <c r="G6" t="s">
        <v>275</v>
      </c>
    </row>
    <row r="7" spans="1:13" x14ac:dyDescent="0.4">
      <c r="A7" t="s">
        <v>282</v>
      </c>
      <c r="B7" t="s">
        <v>1778</v>
      </c>
      <c r="C7" t="s">
        <v>283</v>
      </c>
      <c r="D7" t="s">
        <v>284</v>
      </c>
      <c r="E7" t="s">
        <v>285</v>
      </c>
      <c r="F7" t="s">
        <v>286</v>
      </c>
      <c r="G7" t="s">
        <v>287</v>
      </c>
    </row>
    <row r="8" spans="1:13" x14ac:dyDescent="0.4">
      <c r="A8" t="s">
        <v>343</v>
      </c>
      <c r="B8" t="s">
        <v>1576</v>
      </c>
      <c r="C8" t="s">
        <v>344</v>
      </c>
      <c r="D8" t="s">
        <v>345</v>
      </c>
      <c r="E8" t="s">
        <v>346</v>
      </c>
      <c r="F8" t="s">
        <v>347</v>
      </c>
      <c r="G8" t="s">
        <v>348</v>
      </c>
    </row>
    <row r="9" spans="1:13" x14ac:dyDescent="0.4">
      <c r="A9" t="s">
        <v>349</v>
      </c>
      <c r="B9" t="s">
        <v>1577</v>
      </c>
      <c r="C9" t="s">
        <v>350</v>
      </c>
      <c r="D9" t="s">
        <v>351</v>
      </c>
      <c r="E9" t="s">
        <v>352</v>
      </c>
      <c r="F9" t="s">
        <v>353</v>
      </c>
      <c r="G9" t="s">
        <v>354</v>
      </c>
    </row>
    <row r="10" spans="1:13" x14ac:dyDescent="0.4">
      <c r="A10" t="s">
        <v>429</v>
      </c>
      <c r="B10" t="s">
        <v>433</v>
      </c>
      <c r="C10" t="s">
        <v>430</v>
      </c>
      <c r="D10" t="s">
        <v>431</v>
      </c>
      <c r="E10" t="s">
        <v>432</v>
      </c>
      <c r="F10" t="s">
        <v>255</v>
      </c>
      <c r="G10" t="s">
        <v>433</v>
      </c>
    </row>
    <row r="11" spans="1:13" x14ac:dyDescent="0.4">
      <c r="A11" t="s">
        <v>629</v>
      </c>
      <c r="B11" t="s">
        <v>1717</v>
      </c>
      <c r="C11" t="s">
        <v>146</v>
      </c>
      <c r="D11" t="s">
        <v>147</v>
      </c>
      <c r="E11" t="s">
        <v>148</v>
      </c>
      <c r="F11" t="s">
        <v>149</v>
      </c>
      <c r="G11" t="s">
        <v>630</v>
      </c>
    </row>
    <row r="12" spans="1:13" x14ac:dyDescent="0.4">
      <c r="A12" t="s">
        <v>657</v>
      </c>
      <c r="B12" t="s">
        <v>1725</v>
      </c>
      <c r="C12" t="s">
        <v>344</v>
      </c>
      <c r="D12" t="s">
        <v>345</v>
      </c>
      <c r="E12" t="s">
        <v>346</v>
      </c>
      <c r="F12" t="s">
        <v>347</v>
      </c>
      <c r="G12" t="s">
        <v>658</v>
      </c>
    </row>
    <row r="13" spans="1:13" x14ac:dyDescent="0.4">
      <c r="A13" t="s">
        <v>659</v>
      </c>
      <c r="B13" t="s">
        <v>1726</v>
      </c>
      <c r="C13" t="s">
        <v>660</v>
      </c>
      <c r="D13" t="s">
        <v>661</v>
      </c>
      <c r="E13" t="s">
        <v>662</v>
      </c>
      <c r="F13" t="s">
        <v>663</v>
      </c>
      <c r="G13" t="s">
        <v>664</v>
      </c>
    </row>
    <row r="14" spans="1:13" x14ac:dyDescent="0.4">
      <c r="A14" t="s">
        <v>690</v>
      </c>
      <c r="B14" t="s">
        <v>1736</v>
      </c>
      <c r="C14" t="s">
        <v>344</v>
      </c>
      <c r="D14" t="s">
        <v>345</v>
      </c>
      <c r="E14" t="s">
        <v>346</v>
      </c>
      <c r="F14" t="s">
        <v>347</v>
      </c>
      <c r="G14" t="s">
        <v>691</v>
      </c>
    </row>
    <row r="15" spans="1:13" x14ac:dyDescent="0.4">
      <c r="A15" t="s">
        <v>712</v>
      </c>
      <c r="B15" t="s">
        <v>1745</v>
      </c>
      <c r="C15" t="s">
        <v>146</v>
      </c>
      <c r="D15" t="s">
        <v>147</v>
      </c>
      <c r="E15" t="s">
        <v>148</v>
      </c>
      <c r="F15" t="s">
        <v>149</v>
      </c>
      <c r="G15" t="s">
        <v>713</v>
      </c>
    </row>
    <row r="16" spans="1:13" x14ac:dyDescent="0.4">
      <c r="A16" t="s">
        <v>714</v>
      </c>
      <c r="B16" t="s">
        <v>1745</v>
      </c>
      <c r="C16" t="s">
        <v>146</v>
      </c>
      <c r="D16" t="s">
        <v>147</v>
      </c>
      <c r="E16" t="s">
        <v>148</v>
      </c>
      <c r="F16" t="s">
        <v>149</v>
      </c>
      <c r="G16" t="s">
        <v>713</v>
      </c>
    </row>
    <row r="17" spans="1:7" x14ac:dyDescent="0.4">
      <c r="A17" t="s">
        <v>725</v>
      </c>
      <c r="B17" t="s">
        <v>1748</v>
      </c>
      <c r="C17" t="s">
        <v>146</v>
      </c>
      <c r="D17" t="s">
        <v>147</v>
      </c>
      <c r="E17" t="s">
        <v>148</v>
      </c>
      <c r="F17" t="s">
        <v>149</v>
      </c>
      <c r="G17" t="s">
        <v>726</v>
      </c>
    </row>
    <row r="18" spans="1:7" x14ac:dyDescent="0.4">
      <c r="A18" t="s">
        <v>737</v>
      </c>
      <c r="B18" t="s">
        <v>1667</v>
      </c>
      <c r="C18" t="s">
        <v>660</v>
      </c>
      <c r="D18" t="s">
        <v>661</v>
      </c>
      <c r="E18" t="s">
        <v>662</v>
      </c>
      <c r="F18" t="s">
        <v>663</v>
      </c>
      <c r="G18" t="s">
        <v>738</v>
      </c>
    </row>
    <row r="19" spans="1:7" x14ac:dyDescent="0.4">
      <c r="A19" t="s">
        <v>743</v>
      </c>
      <c r="B19" t="s">
        <v>1779</v>
      </c>
      <c r="C19" t="s">
        <v>744</v>
      </c>
      <c r="D19" t="s">
        <v>745</v>
      </c>
      <c r="E19" t="s">
        <v>746</v>
      </c>
      <c r="F19" t="s">
        <v>255</v>
      </c>
      <c r="G19" t="s">
        <v>747</v>
      </c>
    </row>
    <row r="20" spans="1:7" x14ac:dyDescent="0.4">
      <c r="A20" t="s">
        <v>764</v>
      </c>
      <c r="B20" t="s">
        <v>1774</v>
      </c>
      <c r="C20" t="s">
        <v>344</v>
      </c>
      <c r="D20" t="s">
        <v>345</v>
      </c>
      <c r="E20" t="s">
        <v>346</v>
      </c>
      <c r="F20" t="s">
        <v>347</v>
      </c>
      <c r="G20" t="s">
        <v>765</v>
      </c>
    </row>
    <row r="21" spans="1:7" x14ac:dyDescent="0.4">
      <c r="A21" t="s">
        <v>790</v>
      </c>
      <c r="B21" t="s">
        <v>1782</v>
      </c>
      <c r="C21" t="s">
        <v>283</v>
      </c>
      <c r="D21" t="s">
        <v>284</v>
      </c>
      <c r="E21" t="s">
        <v>285</v>
      </c>
      <c r="F21" t="s">
        <v>286</v>
      </c>
      <c r="G21" t="s">
        <v>791</v>
      </c>
    </row>
    <row r="22" spans="1:7" x14ac:dyDescent="0.4">
      <c r="A22" t="s">
        <v>802</v>
      </c>
      <c r="B22" t="s">
        <v>1783</v>
      </c>
      <c r="C22" t="s">
        <v>283</v>
      </c>
      <c r="D22" t="s">
        <v>284</v>
      </c>
      <c r="E22" t="s">
        <v>285</v>
      </c>
      <c r="F22" t="s">
        <v>286</v>
      </c>
      <c r="G22" t="s">
        <v>803</v>
      </c>
    </row>
    <row r="23" spans="1:7" x14ac:dyDescent="0.4">
      <c r="A23" t="s">
        <v>806</v>
      </c>
      <c r="B23" t="s">
        <v>1761</v>
      </c>
      <c r="C23" t="s">
        <v>807</v>
      </c>
      <c r="D23" t="s">
        <v>808</v>
      </c>
      <c r="E23" t="s">
        <v>809</v>
      </c>
      <c r="F23" t="s">
        <v>810</v>
      </c>
      <c r="G23" t="s">
        <v>811</v>
      </c>
    </row>
    <row r="24" spans="1:7" x14ac:dyDescent="0.4">
      <c r="A24" t="s">
        <v>814</v>
      </c>
      <c r="B24" t="s">
        <v>1671</v>
      </c>
      <c r="C24" t="s">
        <v>815</v>
      </c>
      <c r="D24" t="s">
        <v>816</v>
      </c>
      <c r="E24" t="s">
        <v>817</v>
      </c>
      <c r="F24" t="s">
        <v>818</v>
      </c>
      <c r="G24" t="s">
        <v>819</v>
      </c>
    </row>
    <row r="25" spans="1:7" x14ac:dyDescent="0.4">
      <c r="A25" t="s">
        <v>832</v>
      </c>
      <c r="B25" t="s">
        <v>1765</v>
      </c>
      <c r="C25" t="s">
        <v>146</v>
      </c>
      <c r="D25" t="s">
        <v>147</v>
      </c>
      <c r="E25" t="s">
        <v>148</v>
      </c>
      <c r="F25" t="s">
        <v>149</v>
      </c>
      <c r="G25" t="s">
        <v>833</v>
      </c>
    </row>
    <row r="26" spans="1:7" x14ac:dyDescent="0.4">
      <c r="A26" t="s">
        <v>853</v>
      </c>
      <c r="B26" t="s">
        <v>1785</v>
      </c>
      <c r="C26" t="s">
        <v>283</v>
      </c>
      <c r="D26" t="s">
        <v>284</v>
      </c>
      <c r="E26" t="s">
        <v>285</v>
      </c>
      <c r="F26" t="s">
        <v>286</v>
      </c>
      <c r="G26" t="s">
        <v>854</v>
      </c>
    </row>
    <row r="27" spans="1:7" x14ac:dyDescent="0.4">
      <c r="A27" t="s">
        <v>857</v>
      </c>
      <c r="B27" t="s">
        <v>1786</v>
      </c>
      <c r="C27" t="s">
        <v>283</v>
      </c>
      <c r="D27" t="s">
        <v>284</v>
      </c>
      <c r="E27" t="s">
        <v>285</v>
      </c>
      <c r="F27" t="s">
        <v>286</v>
      </c>
      <c r="G27" t="s">
        <v>858</v>
      </c>
    </row>
    <row r="28" spans="1:7" x14ac:dyDescent="0.4">
      <c r="A28" t="s">
        <v>864</v>
      </c>
      <c r="B28" t="s">
        <v>1776</v>
      </c>
      <c r="C28" t="s">
        <v>344</v>
      </c>
      <c r="D28" t="s">
        <v>345</v>
      </c>
      <c r="E28" t="s">
        <v>346</v>
      </c>
      <c r="F28" t="s">
        <v>347</v>
      </c>
      <c r="G28" t="s">
        <v>865</v>
      </c>
    </row>
    <row r="29" spans="1:7" x14ac:dyDescent="0.4">
      <c r="A29" t="s">
        <v>869</v>
      </c>
      <c r="B29" t="s">
        <v>1769</v>
      </c>
      <c r="C29" t="s">
        <v>146</v>
      </c>
      <c r="D29" t="s">
        <v>147</v>
      </c>
      <c r="E29" t="s">
        <v>148</v>
      </c>
      <c r="F29" t="s">
        <v>149</v>
      </c>
      <c r="G29" t="s">
        <v>870</v>
      </c>
    </row>
    <row r="30" spans="1:7" x14ac:dyDescent="0.4">
      <c r="A30" t="s">
        <v>881</v>
      </c>
      <c r="B30" t="s">
        <v>1788</v>
      </c>
      <c r="C30" t="s">
        <v>283</v>
      </c>
      <c r="D30" t="s">
        <v>284</v>
      </c>
      <c r="E30" t="s">
        <v>285</v>
      </c>
      <c r="F30" t="s">
        <v>286</v>
      </c>
      <c r="G30" t="s">
        <v>882</v>
      </c>
    </row>
    <row r="31" spans="1:7" x14ac:dyDescent="0.4">
      <c r="A31" t="s">
        <v>897</v>
      </c>
      <c r="B31" t="s">
        <v>1578</v>
      </c>
      <c r="C31" t="s">
        <v>350</v>
      </c>
      <c r="D31" t="s">
        <v>351</v>
      </c>
      <c r="E31" t="s">
        <v>352</v>
      </c>
      <c r="F31" t="s">
        <v>353</v>
      </c>
      <c r="G31" t="s">
        <v>898</v>
      </c>
    </row>
    <row r="32" spans="1:7" x14ac:dyDescent="0.4">
      <c r="A32" t="s">
        <v>921</v>
      </c>
      <c r="B32" t="s">
        <v>1579</v>
      </c>
      <c r="C32" t="s">
        <v>344</v>
      </c>
      <c r="D32" t="s">
        <v>345</v>
      </c>
      <c r="E32" t="s">
        <v>346</v>
      </c>
      <c r="F32" t="s">
        <v>347</v>
      </c>
      <c r="G32" t="s">
        <v>922</v>
      </c>
    </row>
    <row r="33" spans="1:7" x14ac:dyDescent="0.4">
      <c r="A33" t="s">
        <v>923</v>
      </c>
      <c r="B33" t="s">
        <v>1579</v>
      </c>
      <c r="C33" t="s">
        <v>344</v>
      </c>
      <c r="D33" t="s">
        <v>345</v>
      </c>
      <c r="E33" t="s">
        <v>346</v>
      </c>
      <c r="F33" t="s">
        <v>347</v>
      </c>
      <c r="G33" t="s">
        <v>922</v>
      </c>
    </row>
    <row r="34" spans="1:7" x14ac:dyDescent="0.4">
      <c r="A34" t="s">
        <v>924</v>
      </c>
      <c r="B34" t="s">
        <v>1579</v>
      </c>
      <c r="C34" t="s">
        <v>344</v>
      </c>
      <c r="D34" t="s">
        <v>345</v>
      </c>
      <c r="E34" t="s">
        <v>346</v>
      </c>
      <c r="F34" t="s">
        <v>347</v>
      </c>
      <c r="G34" t="s">
        <v>922</v>
      </c>
    </row>
    <row r="35" spans="1:7" x14ac:dyDescent="0.4">
      <c r="A35" t="s">
        <v>987</v>
      </c>
      <c r="B35" t="s">
        <v>1580</v>
      </c>
      <c r="C35" t="s">
        <v>344</v>
      </c>
      <c r="D35" t="s">
        <v>345</v>
      </c>
      <c r="E35" t="s">
        <v>346</v>
      </c>
      <c r="F35" t="s">
        <v>347</v>
      </c>
      <c r="G35" t="s">
        <v>988</v>
      </c>
    </row>
    <row r="36" spans="1:7" x14ac:dyDescent="0.4">
      <c r="A36" t="s">
        <v>997</v>
      </c>
      <c r="B36" t="s">
        <v>1581</v>
      </c>
      <c r="C36" t="s">
        <v>344</v>
      </c>
      <c r="D36" t="s">
        <v>345</v>
      </c>
      <c r="E36" t="s">
        <v>346</v>
      </c>
      <c r="F36" t="s">
        <v>347</v>
      </c>
      <c r="G36" t="s">
        <v>998</v>
      </c>
    </row>
    <row r="37" spans="1:7" x14ac:dyDescent="0.4">
      <c r="A37" t="s">
        <v>1035</v>
      </c>
      <c r="B37" t="s">
        <v>1582</v>
      </c>
      <c r="C37" t="s">
        <v>344</v>
      </c>
      <c r="D37" t="s">
        <v>345</v>
      </c>
      <c r="E37" t="s">
        <v>346</v>
      </c>
      <c r="F37" t="s">
        <v>347</v>
      </c>
      <c r="G37" t="s">
        <v>1036</v>
      </c>
    </row>
    <row r="38" spans="1:7" x14ac:dyDescent="0.4">
      <c r="A38" t="s">
        <v>1272</v>
      </c>
      <c r="B38" t="s">
        <v>1583</v>
      </c>
      <c r="C38" t="s">
        <v>344</v>
      </c>
      <c r="D38" t="s">
        <v>345</v>
      </c>
      <c r="E38" t="s">
        <v>346</v>
      </c>
      <c r="F38" t="s">
        <v>347</v>
      </c>
      <c r="G38" t="s">
        <v>1273</v>
      </c>
    </row>
    <row r="39" spans="1:7" x14ac:dyDescent="0.4">
      <c r="A39" t="s">
        <v>1312</v>
      </c>
      <c r="B39" t="s">
        <v>1551</v>
      </c>
      <c r="C39" t="s">
        <v>344</v>
      </c>
      <c r="D39" t="s">
        <v>345</v>
      </c>
      <c r="E39" t="s">
        <v>346</v>
      </c>
      <c r="F39" t="s">
        <v>347</v>
      </c>
      <c r="G39" t="s">
        <v>1313</v>
      </c>
    </row>
    <row r="40" spans="1:7" x14ac:dyDescent="0.4">
      <c r="A40" t="s">
        <v>1358</v>
      </c>
      <c r="B40" t="s">
        <v>1584</v>
      </c>
      <c r="C40" t="s">
        <v>283</v>
      </c>
      <c r="D40" t="s">
        <v>284</v>
      </c>
      <c r="E40" t="s">
        <v>285</v>
      </c>
      <c r="F40" t="s">
        <v>286</v>
      </c>
      <c r="G40" t="s">
        <v>1359</v>
      </c>
    </row>
    <row r="41" spans="1:7" x14ac:dyDescent="0.4">
      <c r="A41" t="s">
        <v>1382</v>
      </c>
      <c r="B41" t="s">
        <v>1585</v>
      </c>
      <c r="C41" t="s">
        <v>283</v>
      </c>
      <c r="D41" t="s">
        <v>284</v>
      </c>
      <c r="E41" t="s">
        <v>285</v>
      </c>
      <c r="F41" t="s">
        <v>286</v>
      </c>
      <c r="G41" t="s">
        <v>1383</v>
      </c>
    </row>
    <row r="42" spans="1:7" x14ac:dyDescent="0.4">
      <c r="A42" t="s">
        <v>1426</v>
      </c>
      <c r="B42" t="s">
        <v>1586</v>
      </c>
      <c r="C42" t="s">
        <v>807</v>
      </c>
      <c r="D42" t="s">
        <v>808</v>
      </c>
      <c r="E42" t="s">
        <v>809</v>
      </c>
      <c r="F42" t="s">
        <v>810</v>
      </c>
      <c r="G42" t="s">
        <v>1427</v>
      </c>
    </row>
    <row r="43" spans="1:7" x14ac:dyDescent="0.4">
      <c r="A43" t="s">
        <v>1446</v>
      </c>
      <c r="B43" t="s">
        <v>1771</v>
      </c>
      <c r="C43" t="s">
        <v>146</v>
      </c>
      <c r="D43" t="s">
        <v>147</v>
      </c>
      <c r="E43" t="s">
        <v>148</v>
      </c>
      <c r="F43" t="s">
        <v>149</v>
      </c>
      <c r="G43" t="s">
        <v>1447</v>
      </c>
    </row>
  </sheetData>
  <autoFilter ref="A3:H43" xr:uid="{9AC5F25E-A4A0-47AD-9061-C4274139670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E2420-F572-464B-982D-67EF923BB37D}">
  <sheetPr codeName="Sheet5">
    <tabColor rgb="FF00B0F0"/>
  </sheetPr>
  <dimension ref="A1:M17"/>
  <sheetViews>
    <sheetView workbookViewId="0">
      <selection activeCell="H16" sqref="H16"/>
    </sheetView>
  </sheetViews>
  <sheetFormatPr defaultRowHeight="18.75" x14ac:dyDescent="0.4"/>
  <cols>
    <col min="2" max="2" width="62.5" bestFit="1" customWidth="1"/>
    <col min="3" max="3" width="2.375" customWidth="1"/>
    <col min="4" max="4" width="22.125" customWidth="1"/>
    <col min="5" max="5" width="7.375" bestFit="1" customWidth="1"/>
    <col min="6" max="6" width="9.375" bestFit="1" customWidth="1"/>
    <col min="7" max="7" width="10.75" bestFit="1" customWidth="1"/>
  </cols>
  <sheetData>
    <row r="1" spans="1:13" ht="19.5" thickBot="1" x14ac:dyDescent="0.45">
      <c r="A1" s="3">
        <f>COUNTA(A4:A293)</f>
        <v>9</v>
      </c>
      <c r="C1" s="10"/>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19" customFormat="1" x14ac:dyDescent="0.4">
      <c r="A4" s="19" t="s">
        <v>128</v>
      </c>
      <c r="B4" s="19" t="s">
        <v>132</v>
      </c>
      <c r="C4" s="19" t="s">
        <v>23</v>
      </c>
      <c r="D4" s="19" t="s">
        <v>129</v>
      </c>
      <c r="E4" s="19" t="s">
        <v>130</v>
      </c>
      <c r="F4" s="19" t="s">
        <v>131</v>
      </c>
      <c r="G4" s="19" t="s">
        <v>132</v>
      </c>
    </row>
    <row r="5" spans="1:13" s="19" customFormat="1" x14ac:dyDescent="0.4">
      <c r="A5" s="19" t="s">
        <v>221</v>
      </c>
      <c r="B5" s="19" t="s">
        <v>1470</v>
      </c>
      <c r="C5" s="19" t="s">
        <v>222</v>
      </c>
      <c r="D5" s="19" t="s">
        <v>223</v>
      </c>
      <c r="E5" s="19" t="s">
        <v>224</v>
      </c>
      <c r="F5" s="19" t="s">
        <v>225</v>
      </c>
      <c r="G5" s="19" t="s">
        <v>226</v>
      </c>
    </row>
    <row r="6" spans="1:13" s="19" customFormat="1" x14ac:dyDescent="0.4">
      <c r="A6" s="19" t="s">
        <v>228</v>
      </c>
      <c r="B6" s="19" t="s">
        <v>1471</v>
      </c>
      <c r="C6" s="19" t="s">
        <v>94</v>
      </c>
      <c r="D6" s="19" t="s">
        <v>229</v>
      </c>
      <c r="E6" s="19" t="s">
        <v>230</v>
      </c>
      <c r="F6" s="19" t="s">
        <v>231</v>
      </c>
      <c r="G6" s="19" t="s">
        <v>232</v>
      </c>
    </row>
    <row r="7" spans="1:13" s="19" customFormat="1" x14ac:dyDescent="0.4">
      <c r="A7" s="19" t="s">
        <v>364</v>
      </c>
      <c r="B7" s="19" t="s">
        <v>1479</v>
      </c>
      <c r="C7" s="19" t="s">
        <v>365</v>
      </c>
      <c r="D7" s="19" t="s">
        <v>366</v>
      </c>
      <c r="E7" s="19" t="s">
        <v>367</v>
      </c>
      <c r="F7" s="19" t="s">
        <v>368</v>
      </c>
      <c r="G7" s="19" t="s">
        <v>369</v>
      </c>
    </row>
    <row r="8" spans="1:13" s="19" customFormat="1" x14ac:dyDescent="0.4">
      <c r="A8" s="19" t="s">
        <v>390</v>
      </c>
      <c r="B8" s="19" t="s">
        <v>1481</v>
      </c>
      <c r="C8" s="19" t="s">
        <v>94</v>
      </c>
      <c r="D8" s="19" t="s">
        <v>229</v>
      </c>
      <c r="E8" s="19" t="s">
        <v>230</v>
      </c>
      <c r="F8" s="19" t="s">
        <v>231</v>
      </c>
      <c r="G8" s="19" t="s">
        <v>391</v>
      </c>
    </row>
    <row r="9" spans="1:13" s="19" customFormat="1" x14ac:dyDescent="0.4">
      <c r="A9" s="19" t="s">
        <v>403</v>
      </c>
      <c r="B9" s="19" t="s">
        <v>1483</v>
      </c>
      <c r="C9" s="19" t="s">
        <v>94</v>
      </c>
      <c r="D9" s="19" t="s">
        <v>229</v>
      </c>
      <c r="E9" s="19" t="s">
        <v>230</v>
      </c>
      <c r="F9" s="19" t="s">
        <v>231</v>
      </c>
      <c r="G9" s="19" t="s">
        <v>404</v>
      </c>
    </row>
    <row r="10" spans="1:13" s="19" customFormat="1" x14ac:dyDescent="0.4">
      <c r="A10" s="19" t="s">
        <v>1322</v>
      </c>
      <c r="B10" s="19" t="s">
        <v>1554</v>
      </c>
      <c r="C10" s="19" t="s">
        <v>21</v>
      </c>
      <c r="D10" s="19" t="s">
        <v>1323</v>
      </c>
      <c r="E10" s="19" t="s">
        <v>1324</v>
      </c>
      <c r="F10" s="19" t="s">
        <v>1325</v>
      </c>
      <c r="G10" s="19" t="s">
        <v>1326</v>
      </c>
    </row>
    <row r="11" spans="1:13" s="19" customFormat="1" x14ac:dyDescent="0.4">
      <c r="A11" s="19" t="s">
        <v>1439</v>
      </c>
      <c r="B11" s="19" t="s">
        <v>1464</v>
      </c>
      <c r="C11" s="19" t="s">
        <v>417</v>
      </c>
      <c r="D11" s="19" t="s">
        <v>418</v>
      </c>
      <c r="E11" s="19" t="s">
        <v>419</v>
      </c>
      <c r="F11" s="19" t="s">
        <v>420</v>
      </c>
      <c r="G11" s="19" t="s">
        <v>1440</v>
      </c>
    </row>
    <row r="12" spans="1:13" s="19" customFormat="1" x14ac:dyDescent="0.4">
      <c r="A12" s="19" t="s">
        <v>1442</v>
      </c>
      <c r="B12" s="19" t="s">
        <v>1572</v>
      </c>
      <c r="C12" s="19" t="s">
        <v>94</v>
      </c>
      <c r="D12" s="19" t="s">
        <v>229</v>
      </c>
      <c r="E12" s="19" t="s">
        <v>230</v>
      </c>
      <c r="F12" s="19" t="s">
        <v>231</v>
      </c>
      <c r="G12" s="19" t="s">
        <v>1443</v>
      </c>
    </row>
    <row r="13" spans="1:13" s="19" customFormat="1" x14ac:dyDescent="0.4"/>
    <row r="14" spans="1:13" s="19" customFormat="1" x14ac:dyDescent="0.4"/>
    <row r="15" spans="1:13" s="19" customFormat="1" x14ac:dyDescent="0.4"/>
    <row r="16" spans="1:13" s="19" customFormat="1" x14ac:dyDescent="0.4"/>
    <row r="17" s="19" customFormat="1" x14ac:dyDescent="0.4"/>
  </sheetData>
  <autoFilter ref="A3:G4" xr:uid="{9B1E2420-F572-464B-982D-67EF923BB37D}"/>
  <phoneticPr fontId="1"/>
  <pageMargins left="0.7" right="0.7" top="0.75" bottom="0.75" header="0.3" footer="0.3"/>
  <pageSetup paperSize="9" orientation="portrait" horizontalDpi="720" verticalDpi="72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5EED9-F412-461D-9F60-105C1533EA9F}">
  <sheetPr codeName="Sheet13">
    <tabColor rgb="FF00B0F0"/>
  </sheetPr>
  <dimension ref="A1:M12"/>
  <sheetViews>
    <sheetView workbookViewId="0">
      <selection activeCell="F16" sqref="F16"/>
    </sheetView>
  </sheetViews>
  <sheetFormatPr defaultRowHeight="18.75" x14ac:dyDescent="0.4"/>
  <cols>
    <col min="1" max="1" width="9.25" bestFit="1" customWidth="1"/>
    <col min="2" max="2" width="39.125" customWidth="1"/>
    <col min="3" max="3" width="2.875" customWidth="1"/>
    <col min="4" max="4" width="19.875" customWidth="1"/>
    <col min="5" max="5" width="7.375" bestFit="1" customWidth="1"/>
    <col min="6" max="6" width="9.375" bestFit="1" customWidth="1"/>
    <col min="7" max="7" width="10.75" bestFit="1" customWidth="1"/>
  </cols>
  <sheetData>
    <row r="1" spans="1:13" ht="19.5" thickBot="1" x14ac:dyDescent="0.45">
      <c r="A1" s="3">
        <f>COUNTA(A4:A291)</f>
        <v>7</v>
      </c>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19" customFormat="1" x14ac:dyDescent="0.4">
      <c r="A4" s="19" t="s">
        <v>166</v>
      </c>
      <c r="B4" s="19" t="s">
        <v>1675</v>
      </c>
      <c r="C4" s="19" t="s">
        <v>167</v>
      </c>
      <c r="D4" s="19" t="s">
        <v>168</v>
      </c>
      <c r="E4" s="19" t="s">
        <v>169</v>
      </c>
      <c r="F4" s="19" t="s">
        <v>170</v>
      </c>
      <c r="G4" s="19" t="s">
        <v>171</v>
      </c>
    </row>
    <row r="5" spans="1:13" s="19" customFormat="1" x14ac:dyDescent="0.4">
      <c r="A5" s="19" t="s">
        <v>775</v>
      </c>
      <c r="B5" s="19" t="s">
        <v>1755</v>
      </c>
      <c r="C5" s="19" t="s">
        <v>19</v>
      </c>
      <c r="D5" s="19" t="s">
        <v>530</v>
      </c>
      <c r="E5" s="19" t="s">
        <v>531</v>
      </c>
      <c r="F5" s="19" t="s">
        <v>532</v>
      </c>
      <c r="G5" s="19" t="s">
        <v>776</v>
      </c>
    </row>
    <row r="6" spans="1:13" s="19" customFormat="1" x14ac:dyDescent="0.4">
      <c r="A6" s="19" t="s">
        <v>777</v>
      </c>
      <c r="B6" s="19" t="s">
        <v>1755</v>
      </c>
      <c r="C6" s="19" t="s">
        <v>19</v>
      </c>
      <c r="D6" s="19" t="s">
        <v>530</v>
      </c>
      <c r="E6" s="19" t="s">
        <v>531</v>
      </c>
      <c r="F6" s="19" t="s">
        <v>532</v>
      </c>
      <c r="G6" s="19" t="s">
        <v>776</v>
      </c>
    </row>
    <row r="7" spans="1:13" s="19" customFormat="1" x14ac:dyDescent="0.4">
      <c r="A7" s="19" t="s">
        <v>954</v>
      </c>
      <c r="B7" s="19" t="s">
        <v>1496</v>
      </c>
      <c r="C7" s="19" t="s">
        <v>19</v>
      </c>
      <c r="D7" s="19" t="s">
        <v>530</v>
      </c>
      <c r="E7" s="19" t="s">
        <v>531</v>
      </c>
      <c r="F7" s="19" t="s">
        <v>532</v>
      </c>
      <c r="G7" s="19" t="s">
        <v>955</v>
      </c>
    </row>
    <row r="8" spans="1:13" s="19" customFormat="1" x14ac:dyDescent="0.4">
      <c r="A8" s="19" t="s">
        <v>1077</v>
      </c>
      <c r="B8" s="19" t="s">
        <v>1511</v>
      </c>
      <c r="C8" s="19" t="s">
        <v>190</v>
      </c>
      <c r="D8" s="19" t="s">
        <v>191</v>
      </c>
      <c r="E8" s="19" t="s">
        <v>192</v>
      </c>
      <c r="F8" s="19" t="s">
        <v>193</v>
      </c>
      <c r="G8" s="19" t="s">
        <v>1078</v>
      </c>
    </row>
    <row r="9" spans="1:13" s="19" customFormat="1" x14ac:dyDescent="0.4">
      <c r="A9" s="19" t="s">
        <v>1168</v>
      </c>
      <c r="B9" s="19" t="s">
        <v>1527</v>
      </c>
      <c r="C9" s="19" t="s">
        <v>93</v>
      </c>
      <c r="D9" s="19" t="s">
        <v>412</v>
      </c>
      <c r="E9" s="19" t="s">
        <v>413</v>
      </c>
      <c r="F9" s="19" t="s">
        <v>414</v>
      </c>
      <c r="G9" s="19" t="s">
        <v>1169</v>
      </c>
    </row>
    <row r="10" spans="1:13" s="19" customFormat="1" x14ac:dyDescent="0.4">
      <c r="A10" s="19" t="s">
        <v>1234</v>
      </c>
      <c r="B10" s="19" t="s">
        <v>1538</v>
      </c>
      <c r="C10" s="19" t="s">
        <v>93</v>
      </c>
      <c r="D10" s="19" t="s">
        <v>412</v>
      </c>
      <c r="E10" s="19" t="s">
        <v>413</v>
      </c>
      <c r="F10" s="19" t="s">
        <v>414</v>
      </c>
      <c r="G10" s="19" t="s">
        <v>1235</v>
      </c>
    </row>
    <row r="11" spans="1:13" s="19" customFormat="1" x14ac:dyDescent="0.4"/>
    <row r="12" spans="1:13" s="19" customFormat="1" x14ac:dyDescent="0.4"/>
  </sheetData>
  <autoFilter ref="A3:G3" xr:uid="{B905EED9-F412-461D-9F60-105C1533EA9F}"/>
  <phoneticPr fontId="1"/>
  <pageMargins left="0.7" right="0.7" top="0.75" bottom="0.75" header="0.3" footer="0.3"/>
  <pageSetup paperSize="9" orientation="portrait" horizontalDpi="720" verticalDpi="72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6F4-3CF5-43C1-82D4-F61AC57C5819}">
  <sheetPr codeName="Sheet2">
    <tabColor rgb="FFFF0000"/>
  </sheetPr>
  <dimension ref="A1:M38"/>
  <sheetViews>
    <sheetView workbookViewId="0">
      <selection activeCell="E9" sqref="E9"/>
    </sheetView>
  </sheetViews>
  <sheetFormatPr defaultRowHeight="18.75" x14ac:dyDescent="0.4"/>
  <cols>
    <col min="1" max="2" width="9.25" bestFit="1" customWidth="1"/>
    <col min="3" max="3" width="18.875" bestFit="1" customWidth="1"/>
    <col min="4" max="5" width="7.375" bestFit="1" customWidth="1"/>
    <col min="6" max="6" width="9.375" bestFit="1" customWidth="1"/>
    <col min="7" max="7" width="10.75" bestFit="1" customWidth="1"/>
  </cols>
  <sheetData>
    <row r="1" spans="1:13" ht="19.5" thickBot="1" x14ac:dyDescent="0.45">
      <c r="A1" s="3">
        <f>COUNTA(A4:A300)</f>
        <v>34</v>
      </c>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19" customFormat="1" x14ac:dyDescent="0.4">
      <c r="A4" s="19" t="s">
        <v>2203</v>
      </c>
      <c r="B4" s="19" t="s">
        <v>2205</v>
      </c>
      <c r="C4" s="19" t="s">
        <v>2204</v>
      </c>
      <c r="D4" s="19" t="s">
        <v>259</v>
      </c>
      <c r="E4" s="19" t="s">
        <v>260</v>
      </c>
      <c r="F4" s="19" t="s">
        <v>261</v>
      </c>
      <c r="G4" s="19" t="s">
        <v>262</v>
      </c>
    </row>
    <row r="5" spans="1:13" s="19" customFormat="1" x14ac:dyDescent="0.4">
      <c r="A5" s="19" t="s">
        <v>313</v>
      </c>
      <c r="B5" s="19" t="s">
        <v>2175</v>
      </c>
      <c r="C5" s="19" t="s">
        <v>314</v>
      </c>
      <c r="D5" s="19" t="s">
        <v>315</v>
      </c>
      <c r="E5" s="19" t="s">
        <v>316</v>
      </c>
      <c r="F5" s="19" t="s">
        <v>317</v>
      </c>
      <c r="G5" s="19" t="s">
        <v>318</v>
      </c>
    </row>
    <row r="6" spans="1:13" s="19" customFormat="1" x14ac:dyDescent="0.4">
      <c r="A6" s="19" t="s">
        <v>335</v>
      </c>
      <c r="B6" s="19" t="s">
        <v>2176</v>
      </c>
      <c r="C6" s="19" t="s">
        <v>336</v>
      </c>
      <c r="D6" s="19" t="s">
        <v>337</v>
      </c>
      <c r="E6" s="19" t="s">
        <v>338</v>
      </c>
      <c r="F6" s="19" t="s">
        <v>317</v>
      </c>
      <c r="G6" s="19" t="s">
        <v>339</v>
      </c>
    </row>
    <row r="7" spans="1:13" s="19" customFormat="1" x14ac:dyDescent="0.4">
      <c r="A7" s="19" t="s">
        <v>423</v>
      </c>
      <c r="B7" s="19" t="s">
        <v>2177</v>
      </c>
      <c r="C7" s="19" t="s">
        <v>424</v>
      </c>
      <c r="D7" s="19" t="s">
        <v>425</v>
      </c>
      <c r="E7" s="19" t="s">
        <v>426</v>
      </c>
      <c r="F7" s="19" t="s">
        <v>427</v>
      </c>
      <c r="G7" s="19" t="s">
        <v>428</v>
      </c>
    </row>
    <row r="8" spans="1:13" s="19" customFormat="1" x14ac:dyDescent="0.4">
      <c r="A8" s="19" t="s">
        <v>479</v>
      </c>
      <c r="B8" s="19" t="s">
        <v>2178</v>
      </c>
      <c r="C8" s="19" t="s">
        <v>480</v>
      </c>
      <c r="D8" s="19" t="s">
        <v>481</v>
      </c>
      <c r="E8" s="19" t="s">
        <v>482</v>
      </c>
      <c r="F8" s="19" t="s">
        <v>317</v>
      </c>
      <c r="G8" s="19" t="s">
        <v>483</v>
      </c>
    </row>
    <row r="9" spans="1:13" s="19" customFormat="1" x14ac:dyDescent="0.4">
      <c r="A9" s="19" t="s">
        <v>508</v>
      </c>
      <c r="B9" s="19" t="s">
        <v>2173</v>
      </c>
      <c r="C9" s="19" t="s">
        <v>509</v>
      </c>
      <c r="D9" s="19" t="s">
        <v>510</v>
      </c>
      <c r="E9" s="19" t="s">
        <v>511</v>
      </c>
      <c r="F9" s="19" t="s">
        <v>512</v>
      </c>
      <c r="G9" s="19" t="s">
        <v>513</v>
      </c>
    </row>
    <row r="10" spans="1:13" s="19" customFormat="1" x14ac:dyDescent="0.4">
      <c r="A10" s="19" t="s">
        <v>514</v>
      </c>
      <c r="B10" s="19" t="s">
        <v>2174</v>
      </c>
      <c r="C10" s="19" t="s">
        <v>515</v>
      </c>
      <c r="D10" s="19" t="s">
        <v>516</v>
      </c>
      <c r="E10" s="19" t="s">
        <v>517</v>
      </c>
      <c r="F10" s="19" t="s">
        <v>427</v>
      </c>
      <c r="G10" s="19" t="s">
        <v>518</v>
      </c>
    </row>
    <row r="11" spans="1:13" s="19" customFormat="1" x14ac:dyDescent="0.4">
      <c r="A11" s="19" t="s">
        <v>2209</v>
      </c>
      <c r="B11" s="19" t="s">
        <v>2208</v>
      </c>
      <c r="C11" s="19" t="s">
        <v>571</v>
      </c>
      <c r="D11" s="19" t="s">
        <v>572</v>
      </c>
      <c r="E11" s="19" t="s">
        <v>573</v>
      </c>
      <c r="F11" s="19" t="s">
        <v>261</v>
      </c>
      <c r="G11" s="19" t="s">
        <v>574</v>
      </c>
    </row>
    <row r="12" spans="1:13" s="19" customFormat="1" x14ac:dyDescent="0.4">
      <c r="A12" s="19" t="s">
        <v>589</v>
      </c>
      <c r="B12" s="19" t="s">
        <v>2179</v>
      </c>
      <c r="C12" s="19" t="s">
        <v>590</v>
      </c>
      <c r="D12" s="19" t="s">
        <v>591</v>
      </c>
      <c r="E12" s="19" t="s">
        <v>592</v>
      </c>
      <c r="F12" s="19" t="s">
        <v>317</v>
      </c>
      <c r="G12" s="19" t="s">
        <v>593</v>
      </c>
    </row>
    <row r="13" spans="1:13" s="19" customFormat="1" x14ac:dyDescent="0.4">
      <c r="A13" s="19" t="s">
        <v>594</v>
      </c>
      <c r="B13" s="19" t="s">
        <v>2180</v>
      </c>
      <c r="C13" s="19" t="s">
        <v>595</v>
      </c>
      <c r="D13" s="19" t="s">
        <v>596</v>
      </c>
      <c r="E13" s="19" t="s">
        <v>597</v>
      </c>
      <c r="F13" s="19" t="s">
        <v>317</v>
      </c>
      <c r="G13" s="19" t="s">
        <v>598</v>
      </c>
    </row>
    <row r="14" spans="1:13" s="19" customFormat="1" x14ac:dyDescent="0.4">
      <c r="A14" s="19" t="s">
        <v>599</v>
      </c>
      <c r="B14" s="19" t="s">
        <v>2181</v>
      </c>
      <c r="C14" s="19" t="s">
        <v>600</v>
      </c>
      <c r="D14" s="19" t="s">
        <v>601</v>
      </c>
      <c r="E14" s="19" t="s">
        <v>602</v>
      </c>
      <c r="F14" s="19" t="s">
        <v>317</v>
      </c>
      <c r="G14" s="19" t="s">
        <v>603</v>
      </c>
    </row>
    <row r="15" spans="1:13" s="19" customFormat="1" x14ac:dyDescent="0.4">
      <c r="A15" s="19" t="s">
        <v>604</v>
      </c>
      <c r="B15" s="19" t="s">
        <v>2182</v>
      </c>
      <c r="C15" s="19" t="s">
        <v>480</v>
      </c>
      <c r="D15" s="19" t="s">
        <v>481</v>
      </c>
      <c r="E15" s="19" t="s">
        <v>482</v>
      </c>
      <c r="F15" s="19" t="s">
        <v>317</v>
      </c>
      <c r="G15" s="19" t="s">
        <v>605</v>
      </c>
    </row>
    <row r="16" spans="1:13" s="19" customFormat="1" x14ac:dyDescent="0.4">
      <c r="A16" s="19" t="s">
        <v>633</v>
      </c>
      <c r="B16" s="19" t="s">
        <v>2210</v>
      </c>
      <c r="C16" s="19" t="s">
        <v>634</v>
      </c>
      <c r="D16" s="19" t="s">
        <v>635</v>
      </c>
      <c r="E16" s="19" t="s">
        <v>636</v>
      </c>
      <c r="F16" s="19" t="s">
        <v>261</v>
      </c>
      <c r="G16" s="19" t="s">
        <v>637</v>
      </c>
    </row>
    <row r="17" spans="1:7" s="20" customFormat="1" x14ac:dyDescent="0.4">
      <c r="A17" s="20" t="s">
        <v>645</v>
      </c>
      <c r="B17" s="20" t="s">
        <v>1721</v>
      </c>
      <c r="C17" s="20" t="s">
        <v>646</v>
      </c>
      <c r="D17" s="20" t="s">
        <v>647</v>
      </c>
      <c r="E17" s="20" t="s">
        <v>648</v>
      </c>
      <c r="F17" s="20" t="s">
        <v>649</v>
      </c>
      <c r="G17" s="20" t="s">
        <v>650</v>
      </c>
    </row>
    <row r="18" spans="1:7" s="19" customFormat="1" x14ac:dyDescent="0.4">
      <c r="A18" s="19" t="s">
        <v>679</v>
      </c>
      <c r="B18" s="19" t="s">
        <v>2211</v>
      </c>
      <c r="C18" s="19" t="s">
        <v>680</v>
      </c>
      <c r="D18" s="19" t="s">
        <v>681</v>
      </c>
      <c r="E18" s="19" t="s">
        <v>682</v>
      </c>
      <c r="F18" s="19" t="s">
        <v>261</v>
      </c>
      <c r="G18" s="19" t="s">
        <v>683</v>
      </c>
    </row>
    <row r="19" spans="1:7" s="19" customFormat="1" x14ac:dyDescent="0.4">
      <c r="A19" s="19" t="s">
        <v>697</v>
      </c>
      <c r="B19" s="19" t="s">
        <v>2183</v>
      </c>
      <c r="C19" s="19" t="s">
        <v>698</v>
      </c>
      <c r="D19" s="19" t="s">
        <v>699</v>
      </c>
      <c r="E19" s="19" t="s">
        <v>700</v>
      </c>
      <c r="F19" s="19" t="s">
        <v>317</v>
      </c>
      <c r="G19" s="19" t="s">
        <v>701</v>
      </c>
    </row>
    <row r="20" spans="1:7" s="19" customFormat="1" x14ac:dyDescent="0.4">
      <c r="A20" s="19" t="s">
        <v>702</v>
      </c>
      <c r="B20" s="19" t="s">
        <v>2184</v>
      </c>
      <c r="C20" s="19" t="s">
        <v>314</v>
      </c>
      <c r="D20" s="19" t="s">
        <v>315</v>
      </c>
      <c r="E20" s="19" t="s">
        <v>316</v>
      </c>
      <c r="F20" s="19" t="s">
        <v>317</v>
      </c>
      <c r="G20" s="19" t="s">
        <v>703</v>
      </c>
    </row>
    <row r="21" spans="1:7" s="19" customFormat="1" x14ac:dyDescent="0.4">
      <c r="A21" s="19" t="s">
        <v>2195</v>
      </c>
      <c r="B21" s="19" t="s">
        <v>1743</v>
      </c>
      <c r="C21" s="19" t="s">
        <v>705</v>
      </c>
      <c r="D21" s="19" t="s">
        <v>706</v>
      </c>
      <c r="E21" s="19" t="s">
        <v>707</v>
      </c>
      <c r="F21" s="19" t="s">
        <v>708</v>
      </c>
      <c r="G21" s="19" t="s">
        <v>709</v>
      </c>
    </row>
    <row r="22" spans="1:7" s="19" customFormat="1" x14ac:dyDescent="0.4">
      <c r="A22" s="19" t="s">
        <v>758</v>
      </c>
      <c r="B22" s="19" t="s">
        <v>2206</v>
      </c>
      <c r="C22" s="19" t="s">
        <v>759</v>
      </c>
      <c r="D22" s="19" t="s">
        <v>760</v>
      </c>
      <c r="E22" s="19" t="s">
        <v>761</v>
      </c>
      <c r="F22" s="19" t="s">
        <v>261</v>
      </c>
      <c r="G22" s="19" t="s">
        <v>762</v>
      </c>
    </row>
    <row r="23" spans="1:7" s="19" customFormat="1" x14ac:dyDescent="0.4">
      <c r="A23" s="19" t="s">
        <v>820</v>
      </c>
      <c r="B23" s="19" t="s">
        <v>2185</v>
      </c>
      <c r="C23" s="19" t="s">
        <v>698</v>
      </c>
      <c r="D23" s="19" t="s">
        <v>699</v>
      </c>
      <c r="E23" s="19" t="s">
        <v>700</v>
      </c>
      <c r="F23" s="19" t="s">
        <v>317</v>
      </c>
      <c r="G23" s="19" t="s">
        <v>821</v>
      </c>
    </row>
    <row r="24" spans="1:7" s="19" customFormat="1" x14ac:dyDescent="0.4">
      <c r="A24" s="19" t="s">
        <v>822</v>
      </c>
      <c r="B24" s="19" t="s">
        <v>2185</v>
      </c>
      <c r="C24" s="19" t="s">
        <v>314</v>
      </c>
      <c r="D24" s="19" t="s">
        <v>315</v>
      </c>
      <c r="E24" s="19" t="s">
        <v>316</v>
      </c>
      <c r="F24" s="19" t="s">
        <v>317</v>
      </c>
      <c r="G24" s="19" t="s">
        <v>821</v>
      </c>
    </row>
    <row r="25" spans="1:7" s="19" customFormat="1" x14ac:dyDescent="0.4">
      <c r="A25" s="19" t="s">
        <v>823</v>
      </c>
      <c r="B25" s="19" t="s">
        <v>2185</v>
      </c>
      <c r="C25" s="19" t="s">
        <v>595</v>
      </c>
      <c r="D25" s="19" t="s">
        <v>596</v>
      </c>
      <c r="E25" s="19" t="s">
        <v>597</v>
      </c>
      <c r="F25" s="19" t="s">
        <v>317</v>
      </c>
      <c r="G25" s="19" t="s">
        <v>821</v>
      </c>
    </row>
    <row r="26" spans="1:7" s="19" customFormat="1" x14ac:dyDescent="0.4">
      <c r="A26" s="19" t="s">
        <v>824</v>
      </c>
      <c r="B26" s="19" t="s">
        <v>2185</v>
      </c>
      <c r="C26" s="19" t="s">
        <v>825</v>
      </c>
      <c r="D26" s="19" t="s">
        <v>826</v>
      </c>
      <c r="E26" s="19" t="s">
        <v>827</v>
      </c>
      <c r="F26" s="19" t="s">
        <v>317</v>
      </c>
      <c r="G26" s="19" t="s">
        <v>821</v>
      </c>
    </row>
    <row r="27" spans="1:7" s="19" customFormat="1" x14ac:dyDescent="0.4">
      <c r="A27" s="19" t="s">
        <v>893</v>
      </c>
      <c r="B27" s="19" t="s">
        <v>2186</v>
      </c>
      <c r="C27" s="19" t="s">
        <v>595</v>
      </c>
      <c r="D27" s="19" t="s">
        <v>596</v>
      </c>
      <c r="E27" s="19" t="s">
        <v>597</v>
      </c>
      <c r="F27" s="19" t="s">
        <v>317</v>
      </c>
      <c r="G27" s="19" t="s">
        <v>894</v>
      </c>
    </row>
    <row r="28" spans="1:7" s="19" customFormat="1" x14ac:dyDescent="0.4">
      <c r="A28" s="19" t="s">
        <v>940</v>
      </c>
      <c r="B28" s="19" t="s">
        <v>2187</v>
      </c>
      <c r="C28" s="19" t="s">
        <v>698</v>
      </c>
      <c r="D28" s="19" t="s">
        <v>699</v>
      </c>
      <c r="E28" s="19" t="s">
        <v>700</v>
      </c>
      <c r="F28" s="19" t="s">
        <v>317</v>
      </c>
      <c r="G28" s="19" t="s">
        <v>941</v>
      </c>
    </row>
    <row r="29" spans="1:7" s="19" customFormat="1" x14ac:dyDescent="0.4">
      <c r="A29" s="19" t="s">
        <v>946</v>
      </c>
      <c r="B29" s="19" t="s">
        <v>2188</v>
      </c>
      <c r="C29" s="19" t="s">
        <v>480</v>
      </c>
      <c r="D29" s="19" t="s">
        <v>481</v>
      </c>
      <c r="E29" s="19" t="s">
        <v>482</v>
      </c>
      <c r="F29" s="19" t="s">
        <v>317</v>
      </c>
      <c r="G29" s="19" t="s">
        <v>947</v>
      </c>
    </row>
    <row r="30" spans="1:7" s="19" customFormat="1" x14ac:dyDescent="0.4">
      <c r="A30" s="19" t="s">
        <v>993</v>
      </c>
      <c r="B30" s="19" t="s">
        <v>2207</v>
      </c>
      <c r="C30" s="19" t="s">
        <v>634</v>
      </c>
      <c r="D30" s="19" t="s">
        <v>635</v>
      </c>
      <c r="E30" s="19" t="s">
        <v>636</v>
      </c>
      <c r="F30" s="19" t="s">
        <v>261</v>
      </c>
      <c r="G30" s="19" t="s">
        <v>994</v>
      </c>
    </row>
    <row r="31" spans="1:7" s="19" customFormat="1" x14ac:dyDescent="0.4">
      <c r="A31" s="19" t="s">
        <v>1021</v>
      </c>
      <c r="B31" s="19" t="s">
        <v>2212</v>
      </c>
      <c r="C31" s="19" t="s">
        <v>680</v>
      </c>
      <c r="D31" s="19" t="s">
        <v>681</v>
      </c>
      <c r="E31" s="19" t="s">
        <v>682</v>
      </c>
      <c r="F31" s="19" t="s">
        <v>261</v>
      </c>
      <c r="G31" s="19" t="s">
        <v>1022</v>
      </c>
    </row>
    <row r="32" spans="1:7" s="19" customFormat="1" x14ac:dyDescent="0.4">
      <c r="A32" s="19" t="s">
        <v>1037</v>
      </c>
      <c r="B32" s="19" t="s">
        <v>2189</v>
      </c>
      <c r="C32" s="19" t="s">
        <v>480</v>
      </c>
      <c r="D32" s="19" t="s">
        <v>481</v>
      </c>
      <c r="E32" s="19" t="s">
        <v>482</v>
      </c>
      <c r="F32" s="19" t="s">
        <v>317</v>
      </c>
      <c r="G32" s="19" t="s">
        <v>1038</v>
      </c>
    </row>
    <row r="33" spans="1:7" s="19" customFormat="1" x14ac:dyDescent="0.4">
      <c r="A33" s="19" t="s">
        <v>1127</v>
      </c>
      <c r="B33" s="19" t="s">
        <v>2194</v>
      </c>
      <c r="C33" s="19" t="s">
        <v>1128</v>
      </c>
      <c r="D33" s="19" t="s">
        <v>1129</v>
      </c>
      <c r="E33" s="19" t="s">
        <v>1130</v>
      </c>
      <c r="F33" s="19" t="s">
        <v>1131</v>
      </c>
      <c r="G33" s="19" t="s">
        <v>1132</v>
      </c>
    </row>
    <row r="34" spans="1:7" s="20" customFormat="1" x14ac:dyDescent="0.4">
      <c r="A34" s="20" t="s">
        <v>1146</v>
      </c>
      <c r="B34" s="20" t="s">
        <v>1524</v>
      </c>
      <c r="C34" s="20" t="s">
        <v>646</v>
      </c>
      <c r="D34" s="20" t="s">
        <v>647</v>
      </c>
      <c r="E34" s="20" t="s">
        <v>648</v>
      </c>
      <c r="F34" s="20" t="s">
        <v>649</v>
      </c>
      <c r="G34" s="20" t="s">
        <v>1147</v>
      </c>
    </row>
    <row r="35" spans="1:7" s="20" customFormat="1" x14ac:dyDescent="0.4">
      <c r="A35" s="20" t="s">
        <v>1148</v>
      </c>
      <c r="B35" s="20" t="s">
        <v>1524</v>
      </c>
      <c r="C35" s="20" t="s">
        <v>646</v>
      </c>
      <c r="D35" s="20" t="s">
        <v>647</v>
      </c>
      <c r="E35" s="20" t="s">
        <v>648</v>
      </c>
      <c r="F35" s="20" t="s">
        <v>649</v>
      </c>
      <c r="G35" s="20" t="s">
        <v>1147</v>
      </c>
    </row>
    <row r="36" spans="1:7" s="19" customFormat="1" x14ac:dyDescent="0.4">
      <c r="A36" s="19" t="s">
        <v>1299</v>
      </c>
      <c r="B36" s="19" t="s">
        <v>2190</v>
      </c>
      <c r="C36" s="19" t="s">
        <v>1300</v>
      </c>
      <c r="D36" s="19" t="s">
        <v>1301</v>
      </c>
      <c r="E36" s="19" t="s">
        <v>1302</v>
      </c>
      <c r="F36" s="19" t="s">
        <v>1303</v>
      </c>
      <c r="G36" s="19" t="s">
        <v>1304</v>
      </c>
    </row>
    <row r="37" spans="1:7" s="19" customFormat="1" x14ac:dyDescent="0.4">
      <c r="A37" s="19" t="s">
        <v>1368</v>
      </c>
      <c r="B37" s="19" t="s">
        <v>2196</v>
      </c>
      <c r="C37" s="19" t="s">
        <v>705</v>
      </c>
      <c r="D37" s="19" t="s">
        <v>706</v>
      </c>
      <c r="E37" s="19" t="s">
        <v>707</v>
      </c>
      <c r="F37" s="19" t="s">
        <v>708</v>
      </c>
      <c r="G37" s="19" t="s">
        <v>1369</v>
      </c>
    </row>
    <row r="38" spans="1:7" s="20" customFormat="1" x14ac:dyDescent="0.4"/>
  </sheetData>
  <autoFilter ref="A3:G37" xr:uid="{A88DE6F4-3CF5-43C1-82D4-F61AC57C5819}"/>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BB35B-F1E7-4553-93B5-357BC29356F1}">
  <sheetPr codeName="Sheet3">
    <tabColor rgb="FFFF0000"/>
  </sheetPr>
  <dimension ref="A1:M79"/>
  <sheetViews>
    <sheetView workbookViewId="0">
      <selection activeCell="D14" sqref="D14"/>
    </sheetView>
  </sheetViews>
  <sheetFormatPr defaultRowHeight="18.75" x14ac:dyDescent="0.4"/>
  <cols>
    <col min="1" max="2" width="9.25" style="1" bestFit="1" customWidth="1"/>
    <col min="3" max="3" width="11.25" style="1" bestFit="1" customWidth="1"/>
    <col min="4" max="5" width="7.375" style="1" bestFit="1" customWidth="1"/>
    <col min="6" max="6" width="9.375" style="1" bestFit="1" customWidth="1"/>
    <col min="7" max="7" width="10.75" style="1" bestFit="1" customWidth="1"/>
    <col min="8" max="16384" width="9" style="1"/>
  </cols>
  <sheetData>
    <row r="1" spans="1:13" ht="19.5" thickBot="1" x14ac:dyDescent="0.45">
      <c r="A1" s="3">
        <f>COUNTA(A4:A298)</f>
        <v>76</v>
      </c>
      <c r="F1" s="2"/>
    </row>
    <row r="2" spans="1:13" x14ac:dyDescent="0.4">
      <c r="C2" s="1" t="s">
        <v>1812</v>
      </c>
      <c r="F2" s="2"/>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19" customFormat="1" x14ac:dyDescent="0.4">
      <c r="A4" s="19" t="s">
        <v>133</v>
      </c>
      <c r="B4" s="19" t="s">
        <v>1820</v>
      </c>
      <c r="C4" s="19" t="s">
        <v>17</v>
      </c>
      <c r="D4" s="19" t="s">
        <v>134</v>
      </c>
      <c r="E4" s="19" t="s">
        <v>135</v>
      </c>
      <c r="F4" s="19" t="s">
        <v>136</v>
      </c>
      <c r="G4" s="19" t="s">
        <v>137</v>
      </c>
    </row>
    <row r="5" spans="1:13" s="19" customFormat="1" x14ac:dyDescent="0.4">
      <c r="A5" s="19" t="s">
        <v>195</v>
      </c>
      <c r="B5" s="19" t="s">
        <v>1821</v>
      </c>
      <c r="C5" s="19" t="s">
        <v>17</v>
      </c>
      <c r="D5" s="19" t="s">
        <v>134</v>
      </c>
      <c r="E5" s="19" t="s">
        <v>135</v>
      </c>
      <c r="F5" s="19" t="s">
        <v>136</v>
      </c>
      <c r="G5" s="19" t="s">
        <v>196</v>
      </c>
    </row>
    <row r="6" spans="1:13" s="19" customFormat="1" x14ac:dyDescent="0.4">
      <c r="A6" s="19" t="s">
        <v>198</v>
      </c>
      <c r="B6" s="19" t="s">
        <v>1822</v>
      </c>
      <c r="C6" s="19" t="s">
        <v>17</v>
      </c>
      <c r="D6" s="19" t="s">
        <v>134</v>
      </c>
      <c r="E6" s="19" t="s">
        <v>135</v>
      </c>
      <c r="F6" s="19" t="s">
        <v>136</v>
      </c>
      <c r="G6" s="19" t="s">
        <v>199</v>
      </c>
    </row>
    <row r="7" spans="1:13" s="19" customFormat="1" x14ac:dyDescent="0.4">
      <c r="A7" s="19" t="s">
        <v>246</v>
      </c>
      <c r="B7" s="19" t="s">
        <v>1825</v>
      </c>
      <c r="C7" s="19" t="s">
        <v>17</v>
      </c>
      <c r="D7" s="19" t="s">
        <v>134</v>
      </c>
      <c r="E7" s="19" t="s">
        <v>135</v>
      </c>
      <c r="F7" s="19" t="s">
        <v>136</v>
      </c>
      <c r="G7" s="19" t="s">
        <v>247</v>
      </c>
    </row>
    <row r="8" spans="1:13" s="19" customFormat="1" x14ac:dyDescent="0.4">
      <c r="A8" s="19" t="s">
        <v>249</v>
      </c>
      <c r="B8" s="19" t="s">
        <v>1823</v>
      </c>
      <c r="C8" s="19" t="s">
        <v>17</v>
      </c>
      <c r="D8" s="19" t="s">
        <v>134</v>
      </c>
      <c r="E8" s="19" t="s">
        <v>135</v>
      </c>
      <c r="F8" s="19" t="s">
        <v>136</v>
      </c>
      <c r="G8" s="19" t="s">
        <v>250</v>
      </c>
    </row>
    <row r="9" spans="1:13" s="19" customFormat="1" x14ac:dyDescent="0.4">
      <c r="A9" s="19" t="s">
        <v>319</v>
      </c>
      <c r="B9" s="19" t="s">
        <v>1824</v>
      </c>
      <c r="C9" s="19" t="s">
        <v>17</v>
      </c>
      <c r="D9" s="19" t="s">
        <v>134</v>
      </c>
      <c r="E9" s="19" t="s">
        <v>135</v>
      </c>
      <c r="F9" s="19" t="s">
        <v>136</v>
      </c>
      <c r="G9" s="19" t="s">
        <v>320</v>
      </c>
    </row>
    <row r="10" spans="1:13" s="19" customFormat="1" x14ac:dyDescent="0.4">
      <c r="A10" s="19" t="s">
        <v>321</v>
      </c>
      <c r="B10" s="19" t="s">
        <v>1826</v>
      </c>
      <c r="C10" s="19" t="s">
        <v>17</v>
      </c>
      <c r="D10" s="19" t="s">
        <v>134</v>
      </c>
      <c r="E10" s="19" t="s">
        <v>135</v>
      </c>
      <c r="F10" s="19" t="s">
        <v>136</v>
      </c>
      <c r="G10" s="19" t="s">
        <v>322</v>
      </c>
    </row>
    <row r="11" spans="1:13" s="19" customFormat="1" x14ac:dyDescent="0.4">
      <c r="A11" s="19" t="s">
        <v>340</v>
      </c>
      <c r="B11" s="19" t="s">
        <v>1827</v>
      </c>
      <c r="C11" s="19" t="s">
        <v>17</v>
      </c>
      <c r="D11" s="19" t="s">
        <v>134</v>
      </c>
      <c r="E11" s="19" t="s">
        <v>135</v>
      </c>
      <c r="F11" s="19" t="s">
        <v>136</v>
      </c>
      <c r="G11" s="19" t="s">
        <v>341</v>
      </c>
    </row>
    <row r="12" spans="1:13" s="19" customFormat="1" x14ac:dyDescent="0.4">
      <c r="A12" s="19" t="s">
        <v>355</v>
      </c>
      <c r="B12" s="19" t="s">
        <v>1828</v>
      </c>
      <c r="C12" s="19" t="s">
        <v>17</v>
      </c>
      <c r="D12" s="19" t="s">
        <v>134</v>
      </c>
      <c r="E12" s="19" t="s">
        <v>135</v>
      </c>
      <c r="F12" s="19" t="s">
        <v>136</v>
      </c>
      <c r="G12" s="19" t="s">
        <v>356</v>
      </c>
    </row>
    <row r="13" spans="1:13" s="19" customFormat="1" x14ac:dyDescent="0.4">
      <c r="A13" s="19" t="s">
        <v>361</v>
      </c>
      <c r="B13" s="19" t="s">
        <v>1829</v>
      </c>
      <c r="C13" s="19" t="s">
        <v>17</v>
      </c>
      <c r="D13" s="19" t="s">
        <v>134</v>
      </c>
      <c r="E13" s="19" t="s">
        <v>135</v>
      </c>
      <c r="F13" s="19" t="s">
        <v>136</v>
      </c>
      <c r="G13" s="19" t="s">
        <v>362</v>
      </c>
    </row>
    <row r="14" spans="1:13" s="19" customFormat="1" x14ac:dyDescent="0.4">
      <c r="A14" s="19" t="s">
        <v>381</v>
      </c>
      <c r="B14" s="19" t="s">
        <v>1830</v>
      </c>
      <c r="C14" s="19" t="s">
        <v>17</v>
      </c>
      <c r="D14" s="19" t="s">
        <v>134</v>
      </c>
      <c r="E14" s="19" t="s">
        <v>135</v>
      </c>
      <c r="F14" s="19" t="s">
        <v>136</v>
      </c>
      <c r="G14" s="19" t="s">
        <v>382</v>
      </c>
    </row>
    <row r="15" spans="1:13" s="19" customFormat="1" x14ac:dyDescent="0.4">
      <c r="A15" s="19" t="s">
        <v>405</v>
      </c>
      <c r="B15" s="19" t="s">
        <v>1831</v>
      </c>
      <c r="C15" s="19" t="s">
        <v>17</v>
      </c>
      <c r="D15" s="19" t="s">
        <v>134</v>
      </c>
      <c r="E15" s="19" t="s">
        <v>135</v>
      </c>
      <c r="F15" s="19" t="s">
        <v>136</v>
      </c>
      <c r="G15" s="19" t="s">
        <v>406</v>
      </c>
    </row>
    <row r="16" spans="1:13" s="19" customFormat="1" x14ac:dyDescent="0.4">
      <c r="A16" s="19" t="s">
        <v>438</v>
      </c>
      <c r="B16" s="19" t="s">
        <v>1813</v>
      </c>
      <c r="C16" s="19" t="s">
        <v>17</v>
      </c>
      <c r="D16" s="19" t="s">
        <v>134</v>
      </c>
      <c r="E16" s="19" t="s">
        <v>135</v>
      </c>
      <c r="F16" s="19" t="s">
        <v>136</v>
      </c>
      <c r="G16" s="19" t="s">
        <v>439</v>
      </c>
    </row>
    <row r="17" spans="1:7" s="19" customFormat="1" x14ac:dyDescent="0.4">
      <c r="A17" s="19" t="s">
        <v>440</v>
      </c>
      <c r="B17" s="19" t="s">
        <v>1814</v>
      </c>
      <c r="C17" s="19" t="s">
        <v>17</v>
      </c>
      <c r="D17" s="19" t="s">
        <v>134</v>
      </c>
      <c r="E17" s="19" t="s">
        <v>135</v>
      </c>
      <c r="F17" s="19" t="s">
        <v>136</v>
      </c>
      <c r="G17" s="19" t="s">
        <v>441</v>
      </c>
    </row>
    <row r="18" spans="1:7" s="19" customFormat="1" x14ac:dyDescent="0.4">
      <c r="A18" s="19" t="s">
        <v>442</v>
      </c>
      <c r="B18" s="19" t="s">
        <v>1815</v>
      </c>
      <c r="C18" s="19" t="s">
        <v>17</v>
      </c>
      <c r="D18" s="19" t="s">
        <v>134</v>
      </c>
      <c r="E18" s="19" t="s">
        <v>135</v>
      </c>
      <c r="F18" s="19" t="s">
        <v>136</v>
      </c>
      <c r="G18" s="19" t="s">
        <v>443</v>
      </c>
    </row>
    <row r="19" spans="1:7" s="19" customFormat="1" x14ac:dyDescent="0.4">
      <c r="A19" s="19" t="s">
        <v>506</v>
      </c>
      <c r="B19" s="19" t="s">
        <v>1832</v>
      </c>
      <c r="C19" s="19" t="s">
        <v>17</v>
      </c>
      <c r="D19" s="19" t="s">
        <v>134</v>
      </c>
      <c r="E19" s="19" t="s">
        <v>135</v>
      </c>
      <c r="F19" s="19" t="s">
        <v>136</v>
      </c>
      <c r="G19" s="19" t="s">
        <v>507</v>
      </c>
    </row>
    <row r="20" spans="1:7" s="19" customFormat="1" x14ac:dyDescent="0.4">
      <c r="A20" s="19" t="s">
        <v>519</v>
      </c>
      <c r="B20" s="19" t="s">
        <v>1833</v>
      </c>
      <c r="C20" s="19" t="s">
        <v>17</v>
      </c>
      <c r="D20" s="19" t="s">
        <v>134</v>
      </c>
      <c r="E20" s="19" t="s">
        <v>135</v>
      </c>
      <c r="F20" s="19" t="s">
        <v>136</v>
      </c>
      <c r="G20" s="19" t="s">
        <v>520</v>
      </c>
    </row>
    <row r="21" spans="1:7" s="19" customFormat="1" x14ac:dyDescent="0.4">
      <c r="A21" s="19" t="s">
        <v>559</v>
      </c>
      <c r="B21" s="19" t="s">
        <v>1834</v>
      </c>
      <c r="C21" s="19" t="s">
        <v>17</v>
      </c>
      <c r="D21" s="19" t="s">
        <v>134</v>
      </c>
      <c r="E21" s="19" t="s">
        <v>135</v>
      </c>
      <c r="F21" s="19" t="s">
        <v>136</v>
      </c>
      <c r="G21" s="19" t="s">
        <v>560</v>
      </c>
    </row>
    <row r="22" spans="1:7" s="19" customFormat="1" x14ac:dyDescent="0.4">
      <c r="A22" s="19" t="s">
        <v>576</v>
      </c>
      <c r="B22" s="19" t="s">
        <v>1835</v>
      </c>
      <c r="C22" s="19" t="s">
        <v>17</v>
      </c>
      <c r="D22" s="19" t="s">
        <v>134</v>
      </c>
      <c r="E22" s="19" t="s">
        <v>135</v>
      </c>
      <c r="F22" s="19" t="s">
        <v>136</v>
      </c>
      <c r="G22" s="19" t="s">
        <v>577</v>
      </c>
    </row>
    <row r="23" spans="1:7" s="19" customFormat="1" x14ac:dyDescent="0.4">
      <c r="A23" s="19" t="s">
        <v>606</v>
      </c>
      <c r="B23" s="19" t="s">
        <v>1836</v>
      </c>
      <c r="C23" s="19" t="s">
        <v>17</v>
      </c>
      <c r="D23" s="19" t="s">
        <v>134</v>
      </c>
      <c r="E23" s="19" t="s">
        <v>135</v>
      </c>
      <c r="F23" s="19" t="s">
        <v>136</v>
      </c>
      <c r="G23" s="19" t="s">
        <v>607</v>
      </c>
    </row>
    <row r="24" spans="1:7" s="19" customFormat="1" x14ac:dyDescent="0.4">
      <c r="A24" s="19" t="s">
        <v>631</v>
      </c>
      <c r="B24" s="19" t="s">
        <v>1837</v>
      </c>
      <c r="C24" s="19" t="s">
        <v>17</v>
      </c>
      <c r="D24" s="19" t="s">
        <v>134</v>
      </c>
      <c r="E24" s="19" t="s">
        <v>135</v>
      </c>
      <c r="F24" s="19" t="s">
        <v>136</v>
      </c>
      <c r="G24" s="19" t="s">
        <v>632</v>
      </c>
    </row>
    <row r="25" spans="1:7" s="19" customFormat="1" x14ac:dyDescent="0.4">
      <c r="A25" s="19" t="s">
        <v>675</v>
      </c>
      <c r="B25" s="19" t="s">
        <v>1838</v>
      </c>
      <c r="C25" s="19" t="s">
        <v>17</v>
      </c>
      <c r="D25" s="19" t="s">
        <v>134</v>
      </c>
      <c r="E25" s="19" t="s">
        <v>135</v>
      </c>
      <c r="F25" s="19" t="s">
        <v>136</v>
      </c>
      <c r="G25" s="19" t="s">
        <v>676</v>
      </c>
    </row>
    <row r="26" spans="1:7" s="19" customFormat="1" x14ac:dyDescent="0.4">
      <c r="A26" s="19" t="s">
        <v>1840</v>
      </c>
      <c r="B26" s="19" t="s">
        <v>1839</v>
      </c>
      <c r="C26" s="19" t="s">
        <v>17</v>
      </c>
      <c r="D26" s="19" t="s">
        <v>134</v>
      </c>
      <c r="E26" s="19" t="s">
        <v>135</v>
      </c>
      <c r="F26" s="19" t="s">
        <v>136</v>
      </c>
      <c r="G26" s="19" t="s">
        <v>693</v>
      </c>
    </row>
    <row r="27" spans="1:7" s="19" customFormat="1" x14ac:dyDescent="0.4">
      <c r="A27" s="19" t="s">
        <v>694</v>
      </c>
      <c r="B27" s="19" t="s">
        <v>1841</v>
      </c>
      <c r="C27" s="19" t="s">
        <v>17</v>
      </c>
      <c r="D27" s="19" t="s">
        <v>134</v>
      </c>
      <c r="E27" s="19" t="s">
        <v>135</v>
      </c>
      <c r="F27" s="19" t="s">
        <v>136</v>
      </c>
      <c r="G27" s="19" t="s">
        <v>693</v>
      </c>
    </row>
    <row r="28" spans="1:7" s="19" customFormat="1" x14ac:dyDescent="0.4">
      <c r="A28" s="19" t="s">
        <v>715</v>
      </c>
      <c r="B28" s="19" t="s">
        <v>1842</v>
      </c>
      <c r="C28" s="19" t="s">
        <v>17</v>
      </c>
      <c r="D28" s="19" t="s">
        <v>134</v>
      </c>
      <c r="E28" s="19" t="s">
        <v>135</v>
      </c>
      <c r="F28" s="19" t="s">
        <v>136</v>
      </c>
      <c r="G28" s="19" t="s">
        <v>716</v>
      </c>
    </row>
    <row r="29" spans="1:7" s="19" customFormat="1" x14ac:dyDescent="0.4">
      <c r="A29" s="19" t="s">
        <v>739</v>
      </c>
      <c r="B29" s="19" t="s">
        <v>1843</v>
      </c>
      <c r="C29" s="19" t="s">
        <v>17</v>
      </c>
      <c r="D29" s="19" t="s">
        <v>134</v>
      </c>
      <c r="E29" s="19" t="s">
        <v>135</v>
      </c>
      <c r="F29" s="19" t="s">
        <v>136</v>
      </c>
      <c r="G29" s="19" t="s">
        <v>740</v>
      </c>
    </row>
    <row r="30" spans="1:7" s="19" customFormat="1" x14ac:dyDescent="0.4">
      <c r="A30" s="19" t="s">
        <v>741</v>
      </c>
      <c r="B30" s="19" t="s">
        <v>1751</v>
      </c>
      <c r="C30" s="19" t="s">
        <v>17</v>
      </c>
      <c r="D30" s="19" t="s">
        <v>134</v>
      </c>
      <c r="E30" s="19" t="s">
        <v>135</v>
      </c>
      <c r="F30" s="19" t="s">
        <v>136</v>
      </c>
      <c r="G30" s="19" t="s">
        <v>740</v>
      </c>
    </row>
    <row r="31" spans="1:7" s="19" customFormat="1" x14ac:dyDescent="0.4">
      <c r="A31" s="19" t="s">
        <v>742</v>
      </c>
      <c r="B31" s="19" t="s">
        <v>1751</v>
      </c>
      <c r="C31" s="19" t="s">
        <v>17</v>
      </c>
      <c r="D31" s="19" t="s">
        <v>134</v>
      </c>
      <c r="E31" s="19" t="s">
        <v>135</v>
      </c>
      <c r="F31" s="19" t="s">
        <v>136</v>
      </c>
      <c r="G31" s="19" t="s">
        <v>740</v>
      </c>
    </row>
    <row r="32" spans="1:7" s="19" customFormat="1" x14ac:dyDescent="0.4">
      <c r="A32" s="19" t="s">
        <v>749</v>
      </c>
      <c r="B32" s="19" t="s">
        <v>1816</v>
      </c>
      <c r="C32" s="19" t="s">
        <v>17</v>
      </c>
      <c r="D32" s="19" t="s">
        <v>134</v>
      </c>
      <c r="E32" s="19" t="s">
        <v>135</v>
      </c>
      <c r="F32" s="19" t="s">
        <v>136</v>
      </c>
      <c r="G32" s="19" t="s">
        <v>750</v>
      </c>
    </row>
    <row r="33" spans="1:7" s="19" customFormat="1" x14ac:dyDescent="0.4">
      <c r="A33" s="19" t="s">
        <v>752</v>
      </c>
      <c r="B33" s="19" t="s">
        <v>1844</v>
      </c>
      <c r="C33" s="19" t="s">
        <v>17</v>
      </c>
      <c r="D33" s="19" t="s">
        <v>134</v>
      </c>
      <c r="E33" s="19" t="s">
        <v>135</v>
      </c>
      <c r="F33" s="19" t="s">
        <v>136</v>
      </c>
      <c r="G33" s="19" t="s">
        <v>753</v>
      </c>
    </row>
    <row r="34" spans="1:7" s="19" customFormat="1" x14ac:dyDescent="0.4">
      <c r="A34" s="19" t="s">
        <v>754</v>
      </c>
      <c r="B34" s="19" t="s">
        <v>1753</v>
      </c>
      <c r="C34" s="19" t="s">
        <v>17</v>
      </c>
      <c r="D34" s="19" t="s">
        <v>134</v>
      </c>
      <c r="E34" s="19" t="s">
        <v>135</v>
      </c>
      <c r="F34" s="19" t="s">
        <v>136</v>
      </c>
      <c r="G34" s="19" t="s">
        <v>753</v>
      </c>
    </row>
    <row r="35" spans="1:7" s="19" customFormat="1" x14ac:dyDescent="0.4">
      <c r="A35" s="19" t="s">
        <v>755</v>
      </c>
      <c r="B35" s="19" t="s">
        <v>1753</v>
      </c>
      <c r="C35" s="19" t="s">
        <v>17</v>
      </c>
      <c r="D35" s="19" t="s">
        <v>134</v>
      </c>
      <c r="E35" s="19" t="s">
        <v>135</v>
      </c>
      <c r="F35" s="19" t="s">
        <v>136</v>
      </c>
      <c r="G35" s="19" t="s">
        <v>753</v>
      </c>
    </row>
    <row r="36" spans="1:7" s="19" customFormat="1" x14ac:dyDescent="0.4">
      <c r="A36" s="19" t="s">
        <v>787</v>
      </c>
      <c r="B36" s="19" t="s">
        <v>1845</v>
      </c>
      <c r="C36" s="19" t="s">
        <v>17</v>
      </c>
      <c r="D36" s="19" t="s">
        <v>134</v>
      </c>
      <c r="E36" s="19" t="s">
        <v>135</v>
      </c>
      <c r="F36" s="19" t="s">
        <v>136</v>
      </c>
      <c r="G36" s="19" t="s">
        <v>788</v>
      </c>
    </row>
    <row r="37" spans="1:7" s="19" customFormat="1" x14ac:dyDescent="0.4">
      <c r="A37" s="19" t="s">
        <v>789</v>
      </c>
      <c r="B37" s="19" t="s">
        <v>1756</v>
      </c>
      <c r="C37" s="19" t="s">
        <v>17</v>
      </c>
      <c r="D37" s="19" t="s">
        <v>134</v>
      </c>
      <c r="E37" s="19" t="s">
        <v>135</v>
      </c>
      <c r="F37" s="19" t="s">
        <v>136</v>
      </c>
      <c r="G37" s="19" t="s">
        <v>788</v>
      </c>
    </row>
    <row r="38" spans="1:7" s="19" customFormat="1" x14ac:dyDescent="0.4">
      <c r="A38" s="19" t="s">
        <v>800</v>
      </c>
      <c r="B38" s="19" t="s">
        <v>1846</v>
      </c>
      <c r="C38" s="19" t="s">
        <v>17</v>
      </c>
      <c r="D38" s="19" t="s">
        <v>134</v>
      </c>
      <c r="E38" s="19" t="s">
        <v>135</v>
      </c>
      <c r="F38" s="19" t="s">
        <v>136</v>
      </c>
      <c r="G38" s="19" t="s">
        <v>801</v>
      </c>
    </row>
    <row r="39" spans="1:7" s="19" customFormat="1" x14ac:dyDescent="0.4">
      <c r="A39" s="19" t="s">
        <v>830</v>
      </c>
      <c r="B39" s="19" t="s">
        <v>1847</v>
      </c>
      <c r="C39" s="19" t="s">
        <v>17</v>
      </c>
      <c r="D39" s="19" t="s">
        <v>134</v>
      </c>
      <c r="E39" s="19" t="s">
        <v>135</v>
      </c>
      <c r="F39" s="19" t="s">
        <v>136</v>
      </c>
      <c r="G39" s="19" t="s">
        <v>831</v>
      </c>
    </row>
    <row r="40" spans="1:7" s="19" customFormat="1" x14ac:dyDescent="0.4">
      <c r="A40" s="19" t="s">
        <v>891</v>
      </c>
      <c r="B40" s="19" t="s">
        <v>1848</v>
      </c>
      <c r="C40" s="19" t="s">
        <v>17</v>
      </c>
      <c r="D40" s="19" t="s">
        <v>134</v>
      </c>
      <c r="E40" s="19" t="s">
        <v>135</v>
      </c>
      <c r="F40" s="19" t="s">
        <v>136</v>
      </c>
      <c r="G40" s="19" t="s">
        <v>892</v>
      </c>
    </row>
    <row r="41" spans="1:7" s="19" customFormat="1" x14ac:dyDescent="0.4">
      <c r="A41" s="19" t="s">
        <v>960</v>
      </c>
      <c r="B41" s="19" t="s">
        <v>1849</v>
      </c>
      <c r="C41" s="19" t="s">
        <v>17</v>
      </c>
      <c r="D41" s="19" t="s">
        <v>134</v>
      </c>
      <c r="E41" s="19" t="s">
        <v>135</v>
      </c>
      <c r="F41" s="19" t="s">
        <v>136</v>
      </c>
      <c r="G41" s="19" t="s">
        <v>961</v>
      </c>
    </row>
    <row r="42" spans="1:7" s="19" customFormat="1" x14ac:dyDescent="0.4">
      <c r="A42" s="19" t="s">
        <v>962</v>
      </c>
      <c r="B42" s="19" t="s">
        <v>1850</v>
      </c>
      <c r="C42" s="19" t="s">
        <v>17</v>
      </c>
      <c r="D42" s="19" t="s">
        <v>134</v>
      </c>
      <c r="E42" s="19" t="s">
        <v>135</v>
      </c>
      <c r="F42" s="19" t="s">
        <v>136</v>
      </c>
      <c r="G42" s="19" t="s">
        <v>963</v>
      </c>
    </row>
    <row r="43" spans="1:7" s="19" customFormat="1" x14ac:dyDescent="0.4">
      <c r="A43" s="19" t="s">
        <v>986</v>
      </c>
      <c r="B43" s="19" t="s">
        <v>1851</v>
      </c>
      <c r="C43" s="19" t="s">
        <v>17</v>
      </c>
      <c r="D43" s="19" t="s">
        <v>134</v>
      </c>
      <c r="E43" s="19" t="s">
        <v>135</v>
      </c>
      <c r="F43" s="19" t="s">
        <v>136</v>
      </c>
      <c r="G43" s="19" t="s">
        <v>933</v>
      </c>
    </row>
    <row r="44" spans="1:7" s="19" customFormat="1" x14ac:dyDescent="0.4">
      <c r="A44" s="19" t="s">
        <v>989</v>
      </c>
      <c r="B44" s="19" t="s">
        <v>1852</v>
      </c>
      <c r="C44" s="19" t="s">
        <v>17</v>
      </c>
      <c r="D44" s="19" t="s">
        <v>134</v>
      </c>
      <c r="E44" s="19" t="s">
        <v>135</v>
      </c>
      <c r="F44" s="19" t="s">
        <v>136</v>
      </c>
      <c r="G44" s="19" t="s">
        <v>990</v>
      </c>
    </row>
    <row r="45" spans="1:7" s="19" customFormat="1" x14ac:dyDescent="0.4">
      <c r="A45" s="19" t="s">
        <v>991</v>
      </c>
      <c r="B45" s="19" t="s">
        <v>1853</v>
      </c>
      <c r="C45" s="19" t="s">
        <v>17</v>
      </c>
      <c r="D45" s="19" t="s">
        <v>134</v>
      </c>
      <c r="E45" s="19" t="s">
        <v>135</v>
      </c>
      <c r="F45" s="19" t="s">
        <v>136</v>
      </c>
      <c r="G45" s="19" t="s">
        <v>992</v>
      </c>
    </row>
    <row r="46" spans="1:7" s="19" customFormat="1" x14ac:dyDescent="0.4">
      <c r="A46" s="19" t="s">
        <v>1006</v>
      </c>
      <c r="B46" s="19" t="s">
        <v>1854</v>
      </c>
      <c r="C46" s="19" t="s">
        <v>17</v>
      </c>
      <c r="D46" s="19" t="s">
        <v>134</v>
      </c>
      <c r="E46" s="19" t="s">
        <v>135</v>
      </c>
      <c r="F46" s="19" t="s">
        <v>136</v>
      </c>
      <c r="G46" s="19" t="s">
        <v>1007</v>
      </c>
    </row>
    <row r="47" spans="1:7" s="19" customFormat="1" x14ac:dyDescent="0.4">
      <c r="A47" s="19" t="s">
        <v>1024</v>
      </c>
      <c r="B47" s="19" t="s">
        <v>1855</v>
      </c>
      <c r="C47" s="19" t="s">
        <v>17</v>
      </c>
      <c r="D47" s="19" t="s">
        <v>134</v>
      </c>
      <c r="E47" s="19" t="s">
        <v>135</v>
      </c>
      <c r="F47" s="19" t="s">
        <v>136</v>
      </c>
      <c r="G47" s="19" t="s">
        <v>1025</v>
      </c>
    </row>
    <row r="48" spans="1:7" s="19" customFormat="1" x14ac:dyDescent="0.4">
      <c r="A48" s="19" t="s">
        <v>1040</v>
      </c>
      <c r="B48" s="19" t="s">
        <v>1856</v>
      </c>
      <c r="C48" s="19" t="s">
        <v>17</v>
      </c>
      <c r="D48" s="19" t="s">
        <v>134</v>
      </c>
      <c r="E48" s="19" t="s">
        <v>135</v>
      </c>
      <c r="F48" s="19" t="s">
        <v>136</v>
      </c>
      <c r="G48" s="19" t="s">
        <v>1041</v>
      </c>
    </row>
    <row r="49" spans="1:7" s="19" customFormat="1" x14ac:dyDescent="0.4">
      <c r="A49" s="19" t="s">
        <v>1044</v>
      </c>
      <c r="B49" s="19" t="s">
        <v>1857</v>
      </c>
      <c r="C49" s="19" t="s">
        <v>17</v>
      </c>
      <c r="D49" s="19" t="s">
        <v>134</v>
      </c>
      <c r="E49" s="19" t="s">
        <v>135</v>
      </c>
      <c r="F49" s="19" t="s">
        <v>136</v>
      </c>
      <c r="G49" s="19" t="s">
        <v>1045</v>
      </c>
    </row>
    <row r="50" spans="1:7" s="19" customFormat="1" x14ac:dyDescent="0.4">
      <c r="A50" s="19" t="s">
        <v>1060</v>
      </c>
      <c r="B50" s="19" t="s">
        <v>1858</v>
      </c>
      <c r="C50" s="19" t="s">
        <v>17</v>
      </c>
      <c r="D50" s="19" t="s">
        <v>134</v>
      </c>
      <c r="E50" s="19" t="s">
        <v>135</v>
      </c>
      <c r="F50" s="19" t="s">
        <v>136</v>
      </c>
      <c r="G50" s="19" t="s">
        <v>1061</v>
      </c>
    </row>
    <row r="51" spans="1:7" s="19" customFormat="1" x14ac:dyDescent="0.4">
      <c r="A51" s="19" t="s">
        <v>1066</v>
      </c>
      <c r="B51" s="19" t="s">
        <v>1859</v>
      </c>
      <c r="C51" s="19" t="s">
        <v>17</v>
      </c>
      <c r="D51" s="19" t="s">
        <v>134</v>
      </c>
      <c r="E51" s="19" t="s">
        <v>135</v>
      </c>
      <c r="F51" s="19" t="s">
        <v>136</v>
      </c>
      <c r="G51" s="19" t="s">
        <v>1067</v>
      </c>
    </row>
    <row r="52" spans="1:7" s="19" customFormat="1" x14ac:dyDescent="0.4">
      <c r="A52" s="19" t="s">
        <v>1080</v>
      </c>
      <c r="B52" s="19" t="s">
        <v>1860</v>
      </c>
      <c r="C52" s="19" t="s">
        <v>17</v>
      </c>
      <c r="D52" s="19" t="s">
        <v>134</v>
      </c>
      <c r="E52" s="19" t="s">
        <v>135</v>
      </c>
      <c r="F52" s="19" t="s">
        <v>136</v>
      </c>
      <c r="G52" s="19" t="s">
        <v>1081</v>
      </c>
    </row>
    <row r="53" spans="1:7" s="19" customFormat="1" x14ac:dyDescent="0.4">
      <c r="A53" s="19" t="s">
        <v>1861</v>
      </c>
      <c r="B53" s="19" t="s">
        <v>1865</v>
      </c>
      <c r="C53" s="19" t="s">
        <v>17</v>
      </c>
      <c r="D53" s="19" t="s">
        <v>134</v>
      </c>
      <c r="E53" s="19" t="s">
        <v>135</v>
      </c>
      <c r="F53" s="19" t="s">
        <v>136</v>
      </c>
      <c r="G53" s="19" t="s">
        <v>1083</v>
      </c>
    </row>
    <row r="54" spans="1:7" s="19" customFormat="1" x14ac:dyDescent="0.4">
      <c r="A54" s="19" t="s">
        <v>1862</v>
      </c>
      <c r="B54" s="19" t="s">
        <v>1864</v>
      </c>
      <c r="C54" s="19" t="s">
        <v>17</v>
      </c>
      <c r="D54" s="19" t="s">
        <v>134</v>
      </c>
      <c r="E54" s="19" t="s">
        <v>135</v>
      </c>
      <c r="F54" s="19" t="s">
        <v>136</v>
      </c>
      <c r="G54" s="19" t="s">
        <v>1083</v>
      </c>
    </row>
    <row r="55" spans="1:7" s="19" customFormat="1" x14ac:dyDescent="0.4">
      <c r="A55" s="19" t="s">
        <v>1099</v>
      </c>
      <c r="B55" s="19" t="s">
        <v>1866</v>
      </c>
      <c r="C55" s="19" t="s">
        <v>17</v>
      </c>
      <c r="D55" s="19" t="s">
        <v>134</v>
      </c>
      <c r="E55" s="19" t="s">
        <v>135</v>
      </c>
      <c r="F55" s="19" t="s">
        <v>136</v>
      </c>
      <c r="G55" s="19" t="s">
        <v>1100</v>
      </c>
    </row>
    <row r="56" spans="1:7" s="19" customFormat="1" x14ac:dyDescent="0.4">
      <c r="A56" s="19" t="s">
        <v>1105</v>
      </c>
      <c r="B56" s="19" t="s">
        <v>1867</v>
      </c>
      <c r="C56" s="19" t="s">
        <v>17</v>
      </c>
      <c r="D56" s="19" t="s">
        <v>134</v>
      </c>
      <c r="E56" s="19" t="s">
        <v>135</v>
      </c>
      <c r="F56" s="19" t="s">
        <v>136</v>
      </c>
      <c r="G56" s="19" t="s">
        <v>1106</v>
      </c>
    </row>
    <row r="57" spans="1:7" s="19" customFormat="1" x14ac:dyDescent="0.4">
      <c r="A57" s="19" t="s">
        <v>1112</v>
      </c>
      <c r="B57" s="19" t="s">
        <v>1863</v>
      </c>
      <c r="C57" s="19" t="s">
        <v>17</v>
      </c>
      <c r="D57" s="19" t="s">
        <v>134</v>
      </c>
      <c r="E57" s="19" t="s">
        <v>135</v>
      </c>
      <c r="F57" s="19" t="s">
        <v>136</v>
      </c>
      <c r="G57" s="19" t="s">
        <v>1113</v>
      </c>
    </row>
    <row r="58" spans="1:7" s="19" customFormat="1" x14ac:dyDescent="0.4">
      <c r="A58" s="19" t="s">
        <v>1120</v>
      </c>
      <c r="B58" s="19" t="s">
        <v>1868</v>
      </c>
      <c r="C58" s="19" t="s">
        <v>17</v>
      </c>
      <c r="D58" s="19" t="s">
        <v>134</v>
      </c>
      <c r="E58" s="19" t="s">
        <v>135</v>
      </c>
      <c r="F58" s="19" t="s">
        <v>136</v>
      </c>
      <c r="G58" s="19" t="s">
        <v>1121</v>
      </c>
    </row>
    <row r="59" spans="1:7" s="19" customFormat="1" x14ac:dyDescent="0.4">
      <c r="A59" s="19" t="s">
        <v>1149</v>
      </c>
      <c r="B59" s="19" t="s">
        <v>1869</v>
      </c>
      <c r="C59" s="19" t="s">
        <v>17</v>
      </c>
      <c r="D59" s="19" t="s">
        <v>134</v>
      </c>
      <c r="E59" s="19" t="s">
        <v>135</v>
      </c>
      <c r="F59" s="19" t="s">
        <v>136</v>
      </c>
      <c r="G59" s="19" t="s">
        <v>1150</v>
      </c>
    </row>
    <row r="60" spans="1:7" s="19" customFormat="1" x14ac:dyDescent="0.4">
      <c r="A60" s="19" t="s">
        <v>1158</v>
      </c>
      <c r="B60" s="19" t="s">
        <v>1870</v>
      </c>
      <c r="C60" s="19" t="s">
        <v>17</v>
      </c>
      <c r="D60" s="19" t="s">
        <v>134</v>
      </c>
      <c r="E60" s="19" t="s">
        <v>135</v>
      </c>
      <c r="F60" s="19" t="s">
        <v>136</v>
      </c>
      <c r="G60" s="19" t="s">
        <v>1159</v>
      </c>
    </row>
    <row r="61" spans="1:7" s="19" customFormat="1" x14ac:dyDescent="0.4">
      <c r="A61" s="19" t="s">
        <v>1166</v>
      </c>
      <c r="B61" s="19" t="s">
        <v>1871</v>
      </c>
      <c r="C61" s="19" t="s">
        <v>17</v>
      </c>
      <c r="D61" s="19" t="s">
        <v>134</v>
      </c>
      <c r="E61" s="19" t="s">
        <v>135</v>
      </c>
      <c r="F61" s="19" t="s">
        <v>136</v>
      </c>
      <c r="G61" s="19" t="s">
        <v>1167</v>
      </c>
    </row>
    <row r="62" spans="1:7" s="19" customFormat="1" x14ac:dyDescent="0.4">
      <c r="A62" s="19" t="s">
        <v>1182</v>
      </c>
      <c r="B62" s="19" t="s">
        <v>1872</v>
      </c>
      <c r="C62" s="19" t="s">
        <v>17</v>
      </c>
      <c r="D62" s="19" t="s">
        <v>134</v>
      </c>
      <c r="E62" s="19" t="s">
        <v>135</v>
      </c>
      <c r="F62" s="19" t="s">
        <v>136</v>
      </c>
      <c r="G62" s="19" t="s">
        <v>1183</v>
      </c>
    </row>
    <row r="63" spans="1:7" s="19" customFormat="1" x14ac:dyDescent="0.4">
      <c r="A63" s="19" t="s">
        <v>1186</v>
      </c>
      <c r="B63" s="19" t="s">
        <v>1873</v>
      </c>
      <c r="C63" s="19" t="s">
        <v>17</v>
      </c>
      <c r="D63" s="19" t="s">
        <v>134</v>
      </c>
      <c r="E63" s="19" t="s">
        <v>135</v>
      </c>
      <c r="F63" s="19" t="s">
        <v>136</v>
      </c>
      <c r="G63" s="19" t="s">
        <v>1187</v>
      </c>
    </row>
    <row r="64" spans="1:7" s="19" customFormat="1" x14ac:dyDescent="0.4">
      <c r="A64" s="19" t="s">
        <v>1188</v>
      </c>
      <c r="B64" s="19" t="s">
        <v>1874</v>
      </c>
      <c r="C64" s="19" t="s">
        <v>17</v>
      </c>
      <c r="D64" s="19" t="s">
        <v>134</v>
      </c>
      <c r="E64" s="19" t="s">
        <v>135</v>
      </c>
      <c r="F64" s="19" t="s">
        <v>136</v>
      </c>
      <c r="G64" s="19" t="s">
        <v>1189</v>
      </c>
    </row>
    <row r="65" spans="1:7" s="19" customFormat="1" x14ac:dyDescent="0.4">
      <c r="A65" s="19" t="s">
        <v>1199</v>
      </c>
      <c r="B65" s="19" t="s">
        <v>1875</v>
      </c>
      <c r="C65" s="19" t="s">
        <v>17</v>
      </c>
      <c r="D65" s="19" t="s">
        <v>134</v>
      </c>
      <c r="E65" s="19" t="s">
        <v>135</v>
      </c>
      <c r="F65" s="19" t="s">
        <v>136</v>
      </c>
      <c r="G65" s="19" t="s">
        <v>1200</v>
      </c>
    </row>
    <row r="66" spans="1:7" s="19" customFormat="1" x14ac:dyDescent="0.4">
      <c r="A66" s="19" t="s">
        <v>1212</v>
      </c>
      <c r="B66" s="19" t="s">
        <v>1876</v>
      </c>
      <c r="C66" s="19" t="s">
        <v>17</v>
      </c>
      <c r="D66" s="19" t="s">
        <v>134</v>
      </c>
      <c r="E66" s="19" t="s">
        <v>135</v>
      </c>
      <c r="F66" s="19" t="s">
        <v>136</v>
      </c>
      <c r="G66" s="19" t="s">
        <v>1213</v>
      </c>
    </row>
    <row r="67" spans="1:7" s="19" customFormat="1" x14ac:dyDescent="0.4">
      <c r="A67" s="19" t="s">
        <v>1214</v>
      </c>
      <c r="B67" s="19" t="s">
        <v>1877</v>
      </c>
      <c r="C67" s="19" t="s">
        <v>17</v>
      </c>
      <c r="D67" s="19" t="s">
        <v>134</v>
      </c>
      <c r="E67" s="19" t="s">
        <v>135</v>
      </c>
      <c r="F67" s="19" t="s">
        <v>136</v>
      </c>
      <c r="G67" s="19" t="s">
        <v>1215</v>
      </c>
    </row>
    <row r="68" spans="1:7" s="19" customFormat="1" x14ac:dyDescent="0.4">
      <c r="A68" s="19" t="s">
        <v>1230</v>
      </c>
      <c r="B68" s="19" t="s">
        <v>1878</v>
      </c>
      <c r="C68" s="19" t="s">
        <v>17</v>
      </c>
      <c r="D68" s="19" t="s">
        <v>134</v>
      </c>
      <c r="E68" s="19" t="s">
        <v>135</v>
      </c>
      <c r="F68" s="19" t="s">
        <v>136</v>
      </c>
      <c r="G68" s="19" t="s">
        <v>1231</v>
      </c>
    </row>
    <row r="69" spans="1:7" s="19" customFormat="1" x14ac:dyDescent="0.4">
      <c r="A69" s="19" t="s">
        <v>1242</v>
      </c>
      <c r="B69" s="19" t="s">
        <v>1879</v>
      </c>
      <c r="C69" s="19" t="s">
        <v>17</v>
      </c>
      <c r="D69" s="19" t="s">
        <v>134</v>
      </c>
      <c r="E69" s="19" t="s">
        <v>135</v>
      </c>
      <c r="F69" s="19" t="s">
        <v>136</v>
      </c>
      <c r="G69" s="19" t="s">
        <v>1243</v>
      </c>
    </row>
    <row r="70" spans="1:7" s="19" customFormat="1" x14ac:dyDescent="0.4">
      <c r="A70" s="19" t="s">
        <v>1252</v>
      </c>
      <c r="B70" s="19" t="s">
        <v>1880</v>
      </c>
      <c r="C70" s="19" t="s">
        <v>17</v>
      </c>
      <c r="D70" s="19" t="s">
        <v>134</v>
      </c>
      <c r="E70" s="19" t="s">
        <v>135</v>
      </c>
      <c r="F70" s="19" t="s">
        <v>136</v>
      </c>
      <c r="G70" s="19" t="s">
        <v>1253</v>
      </c>
    </row>
    <row r="71" spans="1:7" s="19" customFormat="1" x14ac:dyDescent="0.4">
      <c r="A71" s="19" t="s">
        <v>1254</v>
      </c>
      <c r="B71" s="19" t="s">
        <v>1881</v>
      </c>
      <c r="C71" s="19" t="s">
        <v>17</v>
      </c>
      <c r="D71" s="19" t="s">
        <v>134</v>
      </c>
      <c r="E71" s="19" t="s">
        <v>135</v>
      </c>
      <c r="F71" s="19" t="s">
        <v>136</v>
      </c>
      <c r="G71" s="19" t="s">
        <v>1255</v>
      </c>
    </row>
    <row r="72" spans="1:7" s="19" customFormat="1" x14ac:dyDescent="0.4">
      <c r="A72" s="19" t="s">
        <v>1268</v>
      </c>
      <c r="B72" s="19" t="s">
        <v>1882</v>
      </c>
      <c r="C72" s="19" t="s">
        <v>17</v>
      </c>
      <c r="D72" s="19" t="s">
        <v>134</v>
      </c>
      <c r="E72" s="19" t="s">
        <v>135</v>
      </c>
      <c r="F72" s="19" t="s">
        <v>136</v>
      </c>
      <c r="G72" s="19" t="s">
        <v>1269</v>
      </c>
    </row>
    <row r="73" spans="1:7" s="19" customFormat="1" x14ac:dyDescent="0.4">
      <c r="A73" s="19" t="s">
        <v>1289</v>
      </c>
      <c r="B73" s="19" t="s">
        <v>1883</v>
      </c>
      <c r="C73" s="19" t="s">
        <v>17</v>
      </c>
      <c r="D73" s="19" t="s">
        <v>134</v>
      </c>
      <c r="E73" s="19" t="s">
        <v>135</v>
      </c>
      <c r="F73" s="19" t="s">
        <v>136</v>
      </c>
      <c r="G73" s="19" t="s">
        <v>1290</v>
      </c>
    </row>
    <row r="74" spans="1:7" s="19" customFormat="1" x14ac:dyDescent="0.4">
      <c r="A74" s="19" t="s">
        <v>1356</v>
      </c>
      <c r="B74" s="19" t="s">
        <v>1884</v>
      </c>
      <c r="C74" s="19" t="s">
        <v>17</v>
      </c>
      <c r="D74" s="19" t="s">
        <v>134</v>
      </c>
      <c r="E74" s="19" t="s">
        <v>135</v>
      </c>
      <c r="F74" s="19" t="s">
        <v>136</v>
      </c>
      <c r="G74" s="19" t="s">
        <v>1357</v>
      </c>
    </row>
    <row r="75" spans="1:7" s="19" customFormat="1" x14ac:dyDescent="0.4">
      <c r="A75" s="19" t="s">
        <v>1395</v>
      </c>
      <c r="B75" s="19" t="s">
        <v>1885</v>
      </c>
      <c r="C75" s="19" t="s">
        <v>17</v>
      </c>
      <c r="D75" s="19" t="s">
        <v>134</v>
      </c>
      <c r="E75" s="19" t="s">
        <v>135</v>
      </c>
      <c r="F75" s="19" t="s">
        <v>136</v>
      </c>
      <c r="G75" s="19" t="s">
        <v>1396</v>
      </c>
    </row>
    <row r="76" spans="1:7" s="19" customFormat="1" x14ac:dyDescent="0.4">
      <c r="A76" s="19" t="s">
        <v>1405</v>
      </c>
      <c r="B76" s="19" t="s">
        <v>1886</v>
      </c>
      <c r="C76" s="19" t="s">
        <v>17</v>
      </c>
      <c r="D76" s="19" t="s">
        <v>134</v>
      </c>
      <c r="E76" s="19" t="s">
        <v>135</v>
      </c>
      <c r="F76" s="19" t="s">
        <v>136</v>
      </c>
      <c r="G76" s="19" t="s">
        <v>1406</v>
      </c>
    </row>
    <row r="77" spans="1:7" s="19" customFormat="1" x14ac:dyDescent="0.4">
      <c r="A77" s="19" t="s">
        <v>1422</v>
      </c>
      <c r="B77" s="19" t="s">
        <v>1887</v>
      </c>
      <c r="C77" s="19" t="s">
        <v>17</v>
      </c>
      <c r="D77" s="19" t="s">
        <v>134</v>
      </c>
      <c r="E77" s="19" t="s">
        <v>135</v>
      </c>
      <c r="F77" s="19" t="s">
        <v>136</v>
      </c>
      <c r="G77" s="19" t="s">
        <v>1423</v>
      </c>
    </row>
    <row r="78" spans="1:7" s="19" customFormat="1" x14ac:dyDescent="0.4">
      <c r="A78" s="19" t="s">
        <v>1434</v>
      </c>
      <c r="B78" s="19" t="s">
        <v>1888</v>
      </c>
      <c r="C78" s="19" t="s">
        <v>17</v>
      </c>
      <c r="D78" s="19" t="s">
        <v>134</v>
      </c>
      <c r="E78" s="19" t="s">
        <v>135</v>
      </c>
      <c r="F78" s="19" t="s">
        <v>136</v>
      </c>
      <c r="G78" s="19" t="s">
        <v>1435</v>
      </c>
    </row>
    <row r="79" spans="1:7" s="19" customFormat="1" x14ac:dyDescent="0.4">
      <c r="A79" s="19" t="s">
        <v>1436</v>
      </c>
      <c r="B79" s="19" t="s">
        <v>1664</v>
      </c>
      <c r="C79" s="19" t="s">
        <v>17</v>
      </c>
      <c r="D79" s="19" t="s">
        <v>134</v>
      </c>
      <c r="E79" s="19" t="s">
        <v>135</v>
      </c>
      <c r="F79" s="19" t="s">
        <v>136</v>
      </c>
      <c r="G79" s="19" t="s">
        <v>1435</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0DAE-786D-4313-B366-A8B2B9DBB2C2}">
  <sheetPr codeName="Sheet4">
    <tabColor rgb="FFFF0000"/>
  </sheetPr>
  <dimension ref="A1:M56"/>
  <sheetViews>
    <sheetView workbookViewId="0">
      <selection activeCell="E16" sqref="E16"/>
    </sheetView>
  </sheetViews>
  <sheetFormatPr defaultRowHeight="18.75" x14ac:dyDescent="0.4"/>
  <cols>
    <col min="1" max="2" width="9.25" style="1" bestFit="1" customWidth="1"/>
    <col min="3" max="3" width="11.25" style="1" bestFit="1" customWidth="1"/>
    <col min="4" max="5" width="7.375" style="1" bestFit="1" customWidth="1"/>
    <col min="6" max="6" width="9.375" style="1" bestFit="1" customWidth="1"/>
    <col min="7" max="7" width="10.75" style="1" bestFit="1" customWidth="1"/>
    <col min="8" max="16384" width="9" style="1"/>
  </cols>
  <sheetData>
    <row r="1" spans="1:13" ht="19.5" thickBot="1" x14ac:dyDescent="0.45">
      <c r="A1" s="3">
        <f>COUNTA(A4:A299)</f>
        <v>53</v>
      </c>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19" customFormat="1" x14ac:dyDescent="0.4">
      <c r="A4" s="19" t="s">
        <v>173</v>
      </c>
      <c r="B4" s="19" t="s">
        <v>1889</v>
      </c>
      <c r="C4" s="19" t="s">
        <v>174</v>
      </c>
      <c r="D4" s="19" t="s">
        <v>175</v>
      </c>
      <c r="E4" s="19" t="s">
        <v>176</v>
      </c>
      <c r="F4" s="19" t="s">
        <v>177</v>
      </c>
      <c r="G4" s="19" t="s">
        <v>178</v>
      </c>
    </row>
    <row r="5" spans="1:13" s="19" customFormat="1" x14ac:dyDescent="0.4">
      <c r="A5" s="19" t="s">
        <v>209</v>
      </c>
      <c r="B5" s="19" t="s">
        <v>1890</v>
      </c>
      <c r="C5" s="19" t="s">
        <v>174</v>
      </c>
      <c r="D5" s="19" t="s">
        <v>175</v>
      </c>
      <c r="E5" s="19" t="s">
        <v>176</v>
      </c>
      <c r="F5" s="19" t="s">
        <v>177</v>
      </c>
      <c r="G5" s="19" t="s">
        <v>210</v>
      </c>
    </row>
    <row r="6" spans="1:13" s="19" customFormat="1" x14ac:dyDescent="0.4">
      <c r="A6" s="19" t="s">
        <v>211</v>
      </c>
      <c r="B6" s="19" t="s">
        <v>1590</v>
      </c>
      <c r="C6" s="19" t="s">
        <v>174</v>
      </c>
      <c r="D6" s="19" t="s">
        <v>175</v>
      </c>
      <c r="E6" s="19" t="s">
        <v>176</v>
      </c>
      <c r="F6" s="19" t="s">
        <v>177</v>
      </c>
      <c r="G6" s="19" t="s">
        <v>210</v>
      </c>
    </row>
    <row r="7" spans="1:13" s="19" customFormat="1" x14ac:dyDescent="0.4">
      <c r="A7" s="19" t="s">
        <v>212</v>
      </c>
      <c r="B7" s="19" t="s">
        <v>1891</v>
      </c>
      <c r="C7" s="19" t="s">
        <v>174</v>
      </c>
      <c r="D7" s="19" t="s">
        <v>175</v>
      </c>
      <c r="E7" s="19" t="s">
        <v>176</v>
      </c>
      <c r="F7" s="19" t="s">
        <v>177</v>
      </c>
      <c r="G7" s="19" t="s">
        <v>213</v>
      </c>
    </row>
    <row r="8" spans="1:13" s="19" customFormat="1" x14ac:dyDescent="0.4">
      <c r="A8" s="19" t="s">
        <v>272</v>
      </c>
      <c r="B8" s="19" t="s">
        <v>1892</v>
      </c>
      <c r="C8" s="19" t="s">
        <v>174</v>
      </c>
      <c r="D8" s="19" t="s">
        <v>175</v>
      </c>
      <c r="E8" s="19" t="s">
        <v>176</v>
      </c>
      <c r="F8" s="19" t="s">
        <v>177</v>
      </c>
      <c r="G8" s="19" t="s">
        <v>273</v>
      </c>
    </row>
    <row r="9" spans="1:13" s="19" customFormat="1" x14ac:dyDescent="0.4">
      <c r="A9" s="19" t="s">
        <v>310</v>
      </c>
      <c r="B9" s="19" t="s">
        <v>1893</v>
      </c>
      <c r="C9" s="19" t="s">
        <v>174</v>
      </c>
      <c r="D9" s="19" t="s">
        <v>175</v>
      </c>
      <c r="E9" s="19" t="s">
        <v>176</v>
      </c>
      <c r="F9" s="19" t="s">
        <v>177</v>
      </c>
      <c r="G9" s="19" t="s">
        <v>311</v>
      </c>
    </row>
    <row r="10" spans="1:13" s="19" customFormat="1" x14ac:dyDescent="0.4">
      <c r="A10" s="19" t="s">
        <v>323</v>
      </c>
      <c r="B10" s="19" t="s">
        <v>1894</v>
      </c>
      <c r="C10" s="19" t="s">
        <v>174</v>
      </c>
      <c r="D10" s="19" t="s">
        <v>175</v>
      </c>
      <c r="E10" s="19" t="s">
        <v>176</v>
      </c>
      <c r="F10" s="19" t="s">
        <v>177</v>
      </c>
      <c r="G10" s="19" t="s">
        <v>324</v>
      </c>
    </row>
    <row r="11" spans="1:13" s="19" customFormat="1" x14ac:dyDescent="0.4">
      <c r="A11" s="19" t="s">
        <v>370</v>
      </c>
      <c r="B11" s="19" t="s">
        <v>1895</v>
      </c>
      <c r="C11" s="19" t="s">
        <v>174</v>
      </c>
      <c r="D11" s="19" t="s">
        <v>175</v>
      </c>
      <c r="E11" s="19" t="s">
        <v>176</v>
      </c>
      <c r="F11" s="19" t="s">
        <v>177</v>
      </c>
      <c r="G11" s="19" t="s">
        <v>371</v>
      </c>
    </row>
    <row r="12" spans="1:13" s="19" customFormat="1" x14ac:dyDescent="0.4">
      <c r="A12" s="19" t="s">
        <v>401</v>
      </c>
      <c r="B12" s="19" t="s">
        <v>1896</v>
      </c>
      <c r="C12" s="19" t="s">
        <v>174</v>
      </c>
      <c r="D12" s="19" t="s">
        <v>175</v>
      </c>
      <c r="E12" s="19" t="s">
        <v>176</v>
      </c>
      <c r="F12" s="19" t="s">
        <v>177</v>
      </c>
      <c r="G12" s="19" t="s">
        <v>402</v>
      </c>
    </row>
    <row r="13" spans="1:13" s="19" customFormat="1" x14ac:dyDescent="0.4">
      <c r="A13" s="19" t="s">
        <v>407</v>
      </c>
      <c r="B13" s="19" t="s">
        <v>1817</v>
      </c>
      <c r="C13" s="19" t="s">
        <v>174</v>
      </c>
      <c r="D13" s="19" t="s">
        <v>175</v>
      </c>
      <c r="E13" s="19" t="s">
        <v>176</v>
      </c>
      <c r="F13" s="19" t="s">
        <v>177</v>
      </c>
      <c r="G13" s="19" t="s">
        <v>408</v>
      </c>
    </row>
    <row r="14" spans="1:13" s="19" customFormat="1" x14ac:dyDescent="0.4">
      <c r="A14" s="19" t="s">
        <v>434</v>
      </c>
      <c r="B14" s="19" t="s">
        <v>1818</v>
      </c>
      <c r="C14" s="19" t="s">
        <v>174</v>
      </c>
      <c r="D14" s="19" t="s">
        <v>175</v>
      </c>
      <c r="E14" s="19" t="s">
        <v>176</v>
      </c>
      <c r="F14" s="19" t="s">
        <v>177</v>
      </c>
      <c r="G14" s="19" t="s">
        <v>435</v>
      </c>
    </row>
    <row r="15" spans="1:13" s="19" customFormat="1" x14ac:dyDescent="0.4">
      <c r="A15" s="19" t="s">
        <v>436</v>
      </c>
      <c r="B15" s="19" t="s">
        <v>1819</v>
      </c>
      <c r="C15" s="19" t="s">
        <v>174</v>
      </c>
      <c r="D15" s="19" t="s">
        <v>175</v>
      </c>
      <c r="E15" s="19" t="s">
        <v>176</v>
      </c>
      <c r="F15" s="19" t="s">
        <v>177</v>
      </c>
      <c r="G15" s="19" t="s">
        <v>437</v>
      </c>
    </row>
    <row r="16" spans="1:13" s="19" customFormat="1" x14ac:dyDescent="0.4">
      <c r="A16" s="19" t="s">
        <v>486</v>
      </c>
      <c r="B16" s="19" t="s">
        <v>1897</v>
      </c>
      <c r="C16" s="19" t="s">
        <v>174</v>
      </c>
      <c r="D16" s="19" t="s">
        <v>175</v>
      </c>
      <c r="E16" s="19" t="s">
        <v>176</v>
      </c>
      <c r="F16" s="19" t="s">
        <v>177</v>
      </c>
      <c r="G16" s="19" t="s">
        <v>487</v>
      </c>
    </row>
    <row r="17" spans="1:7" s="19" customFormat="1" x14ac:dyDescent="0.4">
      <c r="A17" s="19" t="s">
        <v>568</v>
      </c>
      <c r="B17" s="19" t="s">
        <v>1898</v>
      </c>
      <c r="C17" s="19" t="s">
        <v>174</v>
      </c>
      <c r="D17" s="19" t="s">
        <v>175</v>
      </c>
      <c r="E17" s="19" t="s">
        <v>176</v>
      </c>
      <c r="F17" s="19" t="s">
        <v>177</v>
      </c>
      <c r="G17" s="19" t="s">
        <v>569</v>
      </c>
    </row>
    <row r="18" spans="1:7" s="19" customFormat="1" x14ac:dyDescent="0.4">
      <c r="A18" s="19" t="s">
        <v>619</v>
      </c>
      <c r="B18" s="19" t="s">
        <v>1899</v>
      </c>
      <c r="C18" s="19" t="s">
        <v>174</v>
      </c>
      <c r="D18" s="19" t="s">
        <v>175</v>
      </c>
      <c r="E18" s="19" t="s">
        <v>176</v>
      </c>
      <c r="F18" s="19" t="s">
        <v>177</v>
      </c>
      <c r="G18" s="19" t="s">
        <v>620</v>
      </c>
    </row>
    <row r="19" spans="1:7" s="19" customFormat="1" x14ac:dyDescent="0.4">
      <c r="A19" s="19" t="s">
        <v>621</v>
      </c>
      <c r="B19" s="19" t="s">
        <v>1900</v>
      </c>
      <c r="C19" s="19" t="s">
        <v>174</v>
      </c>
      <c r="D19" s="19" t="s">
        <v>175</v>
      </c>
      <c r="E19" s="19" t="s">
        <v>176</v>
      </c>
      <c r="F19" s="19" t="s">
        <v>177</v>
      </c>
      <c r="G19" s="19" t="s">
        <v>622</v>
      </c>
    </row>
    <row r="20" spans="1:7" s="19" customFormat="1" x14ac:dyDescent="0.4">
      <c r="A20" s="19" t="s">
        <v>653</v>
      </c>
      <c r="B20" s="19" t="s">
        <v>1901</v>
      </c>
      <c r="C20" s="19" t="s">
        <v>174</v>
      </c>
      <c r="D20" s="19" t="s">
        <v>175</v>
      </c>
      <c r="E20" s="19" t="s">
        <v>176</v>
      </c>
      <c r="F20" s="19" t="s">
        <v>177</v>
      </c>
      <c r="G20" s="19" t="s">
        <v>654</v>
      </c>
    </row>
    <row r="21" spans="1:7" s="19" customFormat="1" x14ac:dyDescent="0.4">
      <c r="A21" s="19" t="s">
        <v>655</v>
      </c>
      <c r="B21" s="19" t="s">
        <v>1902</v>
      </c>
      <c r="C21" s="19" t="s">
        <v>174</v>
      </c>
      <c r="D21" s="19" t="s">
        <v>175</v>
      </c>
      <c r="E21" s="19" t="s">
        <v>176</v>
      </c>
      <c r="F21" s="19" t="s">
        <v>177</v>
      </c>
      <c r="G21" s="19" t="s">
        <v>656</v>
      </c>
    </row>
    <row r="22" spans="1:7" s="19" customFormat="1" x14ac:dyDescent="0.4">
      <c r="A22" s="19" t="s">
        <v>673</v>
      </c>
      <c r="B22" s="19" t="s">
        <v>1903</v>
      </c>
      <c r="C22" s="19" t="s">
        <v>174</v>
      </c>
      <c r="D22" s="19" t="s">
        <v>175</v>
      </c>
      <c r="E22" s="19" t="s">
        <v>176</v>
      </c>
      <c r="F22" s="19" t="s">
        <v>177</v>
      </c>
      <c r="G22" s="19" t="s">
        <v>674</v>
      </c>
    </row>
    <row r="23" spans="1:7" s="19" customFormat="1" x14ac:dyDescent="0.4">
      <c r="A23" s="19" t="s">
        <v>677</v>
      </c>
      <c r="B23" s="19" t="s">
        <v>1904</v>
      </c>
      <c r="C23" s="19" t="s">
        <v>174</v>
      </c>
      <c r="D23" s="19" t="s">
        <v>175</v>
      </c>
      <c r="E23" s="19" t="s">
        <v>176</v>
      </c>
      <c r="F23" s="19" t="s">
        <v>177</v>
      </c>
      <c r="G23" s="19" t="s">
        <v>678</v>
      </c>
    </row>
    <row r="24" spans="1:7" s="19" customFormat="1" x14ac:dyDescent="0.4">
      <c r="A24" s="19" t="s">
        <v>684</v>
      </c>
      <c r="B24" s="19" t="s">
        <v>1905</v>
      </c>
      <c r="C24" s="19" t="s">
        <v>174</v>
      </c>
      <c r="D24" s="19" t="s">
        <v>175</v>
      </c>
      <c r="E24" s="19" t="s">
        <v>176</v>
      </c>
      <c r="F24" s="19" t="s">
        <v>177</v>
      </c>
      <c r="G24" s="19" t="s">
        <v>685</v>
      </c>
    </row>
    <row r="25" spans="1:7" s="19" customFormat="1" x14ac:dyDescent="0.4">
      <c r="A25" s="19" t="s">
        <v>686</v>
      </c>
      <c r="B25" s="19" t="s">
        <v>1906</v>
      </c>
      <c r="C25" s="19" t="s">
        <v>174</v>
      </c>
      <c r="D25" s="19" t="s">
        <v>175</v>
      </c>
      <c r="E25" s="19" t="s">
        <v>176</v>
      </c>
      <c r="F25" s="19" t="s">
        <v>177</v>
      </c>
      <c r="G25" s="19" t="s">
        <v>687</v>
      </c>
    </row>
    <row r="26" spans="1:7" s="19" customFormat="1" x14ac:dyDescent="0.4">
      <c r="A26" s="19" t="s">
        <v>688</v>
      </c>
      <c r="B26" s="19" t="s">
        <v>1907</v>
      </c>
      <c r="C26" s="19" t="s">
        <v>174</v>
      </c>
      <c r="D26" s="19" t="s">
        <v>175</v>
      </c>
      <c r="E26" s="19" t="s">
        <v>176</v>
      </c>
      <c r="F26" s="19" t="s">
        <v>177</v>
      </c>
      <c r="G26" s="19" t="s">
        <v>689</v>
      </c>
    </row>
    <row r="27" spans="1:7" s="19" customFormat="1" x14ac:dyDescent="0.4">
      <c r="A27" s="19" t="s">
        <v>756</v>
      </c>
      <c r="B27" s="19" t="s">
        <v>1908</v>
      </c>
      <c r="C27" s="19" t="s">
        <v>174</v>
      </c>
      <c r="D27" s="19" t="s">
        <v>175</v>
      </c>
      <c r="E27" s="19" t="s">
        <v>176</v>
      </c>
      <c r="F27" s="19" t="s">
        <v>177</v>
      </c>
      <c r="G27" s="19" t="s">
        <v>757</v>
      </c>
    </row>
    <row r="28" spans="1:7" s="19" customFormat="1" x14ac:dyDescent="0.4">
      <c r="A28" s="19" t="s">
        <v>794</v>
      </c>
      <c r="B28" s="19" t="s">
        <v>1909</v>
      </c>
      <c r="C28" s="19" t="s">
        <v>174</v>
      </c>
      <c r="D28" s="19" t="s">
        <v>175</v>
      </c>
      <c r="E28" s="19" t="s">
        <v>176</v>
      </c>
      <c r="F28" s="19" t="s">
        <v>177</v>
      </c>
      <c r="G28" s="19" t="s">
        <v>795</v>
      </c>
    </row>
    <row r="29" spans="1:7" s="19" customFormat="1" x14ac:dyDescent="0.4">
      <c r="A29" s="19" t="s">
        <v>842</v>
      </c>
      <c r="B29" s="19" t="s">
        <v>1910</v>
      </c>
      <c r="C29" s="19" t="s">
        <v>174</v>
      </c>
      <c r="D29" s="19" t="s">
        <v>175</v>
      </c>
      <c r="E29" s="19" t="s">
        <v>176</v>
      </c>
      <c r="F29" s="19" t="s">
        <v>177</v>
      </c>
      <c r="G29" s="19" t="s">
        <v>843</v>
      </c>
    </row>
    <row r="30" spans="1:7" s="19" customFormat="1" x14ac:dyDescent="0.4">
      <c r="A30" s="19" t="s">
        <v>851</v>
      </c>
      <c r="B30" s="19" t="s">
        <v>1911</v>
      </c>
      <c r="C30" s="19" t="s">
        <v>174</v>
      </c>
      <c r="D30" s="19" t="s">
        <v>175</v>
      </c>
      <c r="E30" s="19" t="s">
        <v>176</v>
      </c>
      <c r="F30" s="19" t="s">
        <v>177</v>
      </c>
      <c r="G30" s="19" t="s">
        <v>852</v>
      </c>
    </row>
    <row r="31" spans="1:7" s="19" customFormat="1" x14ac:dyDescent="0.4">
      <c r="A31" s="19" t="s">
        <v>855</v>
      </c>
      <c r="B31" s="19" t="s">
        <v>1912</v>
      </c>
      <c r="C31" s="19" t="s">
        <v>174</v>
      </c>
      <c r="D31" s="19" t="s">
        <v>175</v>
      </c>
      <c r="E31" s="19" t="s">
        <v>176</v>
      </c>
      <c r="F31" s="19" t="s">
        <v>177</v>
      </c>
      <c r="G31" s="19" t="s">
        <v>856</v>
      </c>
    </row>
    <row r="32" spans="1:7" s="19" customFormat="1" x14ac:dyDescent="0.4">
      <c r="A32" s="19" t="s">
        <v>899</v>
      </c>
      <c r="B32" s="19" t="s">
        <v>1913</v>
      </c>
      <c r="C32" s="19" t="s">
        <v>174</v>
      </c>
      <c r="D32" s="19" t="s">
        <v>175</v>
      </c>
      <c r="E32" s="19" t="s">
        <v>176</v>
      </c>
      <c r="F32" s="19" t="s">
        <v>177</v>
      </c>
      <c r="G32" s="19" t="s">
        <v>900</v>
      </c>
    </row>
    <row r="33" spans="1:7" s="19" customFormat="1" x14ac:dyDescent="0.4">
      <c r="A33" s="19" t="s">
        <v>919</v>
      </c>
      <c r="B33" s="19" t="s">
        <v>1914</v>
      </c>
      <c r="C33" s="19" t="s">
        <v>174</v>
      </c>
      <c r="D33" s="19" t="s">
        <v>175</v>
      </c>
      <c r="E33" s="19" t="s">
        <v>176</v>
      </c>
      <c r="F33" s="19" t="s">
        <v>177</v>
      </c>
      <c r="G33" s="19" t="s">
        <v>920</v>
      </c>
    </row>
    <row r="34" spans="1:7" s="19" customFormat="1" x14ac:dyDescent="0.4">
      <c r="A34" s="19" t="s">
        <v>932</v>
      </c>
      <c r="B34" s="19" t="s">
        <v>1851</v>
      </c>
      <c r="C34" s="19" t="s">
        <v>174</v>
      </c>
      <c r="D34" s="19" t="s">
        <v>175</v>
      </c>
      <c r="E34" s="19" t="s">
        <v>176</v>
      </c>
      <c r="F34" s="19" t="s">
        <v>177</v>
      </c>
      <c r="G34" s="19" t="s">
        <v>933</v>
      </c>
    </row>
    <row r="35" spans="1:7" s="19" customFormat="1" x14ac:dyDescent="0.4">
      <c r="A35" s="19" t="s">
        <v>934</v>
      </c>
      <c r="B35" s="19" t="s">
        <v>1915</v>
      </c>
      <c r="C35" s="19" t="s">
        <v>174</v>
      </c>
      <c r="D35" s="19" t="s">
        <v>175</v>
      </c>
      <c r="E35" s="19" t="s">
        <v>176</v>
      </c>
      <c r="F35" s="19" t="s">
        <v>177</v>
      </c>
      <c r="G35" s="19" t="s">
        <v>935</v>
      </c>
    </row>
    <row r="36" spans="1:7" s="19" customFormat="1" x14ac:dyDescent="0.4">
      <c r="A36" s="19" t="s">
        <v>958</v>
      </c>
      <c r="B36" s="19" t="s">
        <v>1916</v>
      </c>
      <c r="C36" s="19" t="s">
        <v>174</v>
      </c>
      <c r="D36" s="19" t="s">
        <v>175</v>
      </c>
      <c r="E36" s="19" t="s">
        <v>176</v>
      </c>
      <c r="F36" s="19" t="s">
        <v>177</v>
      </c>
      <c r="G36" s="19" t="s">
        <v>959</v>
      </c>
    </row>
    <row r="37" spans="1:7" s="19" customFormat="1" x14ac:dyDescent="0.4">
      <c r="A37" s="19" t="s">
        <v>975</v>
      </c>
      <c r="B37" s="19" t="s">
        <v>1917</v>
      </c>
      <c r="C37" s="19" t="s">
        <v>174</v>
      </c>
      <c r="D37" s="19" t="s">
        <v>175</v>
      </c>
      <c r="E37" s="19" t="s">
        <v>176</v>
      </c>
      <c r="F37" s="19" t="s">
        <v>177</v>
      </c>
      <c r="G37" s="19" t="s">
        <v>976</v>
      </c>
    </row>
    <row r="38" spans="1:7" s="19" customFormat="1" x14ac:dyDescent="0.4">
      <c r="A38" s="19" t="s">
        <v>977</v>
      </c>
      <c r="B38" s="19" t="s">
        <v>1610</v>
      </c>
      <c r="C38" s="19" t="s">
        <v>174</v>
      </c>
      <c r="D38" s="19" t="s">
        <v>175</v>
      </c>
      <c r="E38" s="19" t="s">
        <v>176</v>
      </c>
      <c r="F38" s="19" t="s">
        <v>177</v>
      </c>
      <c r="G38" s="19" t="s">
        <v>976</v>
      </c>
    </row>
    <row r="39" spans="1:7" s="19" customFormat="1" x14ac:dyDescent="0.4">
      <c r="A39" s="19" t="s">
        <v>984</v>
      </c>
      <c r="B39" s="19" t="s">
        <v>1918</v>
      </c>
      <c r="C39" s="19" t="s">
        <v>174</v>
      </c>
      <c r="D39" s="19" t="s">
        <v>175</v>
      </c>
      <c r="E39" s="19" t="s">
        <v>176</v>
      </c>
      <c r="F39" s="19" t="s">
        <v>177</v>
      </c>
      <c r="G39" s="19" t="s">
        <v>985</v>
      </c>
    </row>
    <row r="40" spans="1:7" s="19" customFormat="1" x14ac:dyDescent="0.4">
      <c r="A40" s="19" t="s">
        <v>1033</v>
      </c>
      <c r="B40" s="19" t="s">
        <v>1919</v>
      </c>
      <c r="C40" s="19" t="s">
        <v>174</v>
      </c>
      <c r="D40" s="19" t="s">
        <v>175</v>
      </c>
      <c r="E40" s="19" t="s">
        <v>176</v>
      </c>
      <c r="F40" s="19" t="s">
        <v>177</v>
      </c>
      <c r="G40" s="19" t="s">
        <v>1034</v>
      </c>
    </row>
    <row r="41" spans="1:7" s="19" customFormat="1" x14ac:dyDescent="0.4">
      <c r="A41" s="19" t="s">
        <v>1055</v>
      </c>
      <c r="B41" s="19" t="s">
        <v>1920</v>
      </c>
      <c r="C41" s="19" t="s">
        <v>174</v>
      </c>
      <c r="D41" s="19" t="s">
        <v>175</v>
      </c>
      <c r="E41" s="19" t="s">
        <v>176</v>
      </c>
      <c r="F41" s="19" t="s">
        <v>177</v>
      </c>
      <c r="G41" s="19" t="s">
        <v>1056</v>
      </c>
    </row>
    <row r="42" spans="1:7" s="19" customFormat="1" x14ac:dyDescent="0.4">
      <c r="A42" s="19" t="s">
        <v>1064</v>
      </c>
      <c r="B42" s="19" t="s">
        <v>1921</v>
      </c>
      <c r="C42" s="19" t="s">
        <v>174</v>
      </c>
      <c r="D42" s="19" t="s">
        <v>175</v>
      </c>
      <c r="E42" s="19" t="s">
        <v>176</v>
      </c>
      <c r="F42" s="19" t="s">
        <v>177</v>
      </c>
      <c r="G42" s="19" t="s">
        <v>1065</v>
      </c>
    </row>
    <row r="43" spans="1:7" s="19" customFormat="1" x14ac:dyDescent="0.4">
      <c r="A43" s="19" t="s">
        <v>1070</v>
      </c>
      <c r="B43" s="19" t="s">
        <v>1922</v>
      </c>
      <c r="C43" s="19" t="s">
        <v>174</v>
      </c>
      <c r="D43" s="19" t="s">
        <v>175</v>
      </c>
      <c r="E43" s="19" t="s">
        <v>176</v>
      </c>
      <c r="F43" s="19" t="s">
        <v>177</v>
      </c>
      <c r="G43" s="19" t="s">
        <v>1071</v>
      </c>
    </row>
    <row r="44" spans="1:7" s="19" customFormat="1" x14ac:dyDescent="0.4">
      <c r="A44" s="19" t="s">
        <v>1114</v>
      </c>
      <c r="B44" s="19" t="s">
        <v>1923</v>
      </c>
      <c r="C44" s="19" t="s">
        <v>174</v>
      </c>
      <c r="D44" s="19" t="s">
        <v>175</v>
      </c>
      <c r="E44" s="19" t="s">
        <v>176</v>
      </c>
      <c r="F44" s="19" t="s">
        <v>177</v>
      </c>
      <c r="G44" s="19" t="s">
        <v>1115</v>
      </c>
    </row>
    <row r="45" spans="1:7" s="19" customFormat="1" x14ac:dyDescent="0.4">
      <c r="A45" s="19" t="s">
        <v>1116</v>
      </c>
      <c r="B45" s="19" t="s">
        <v>2172</v>
      </c>
      <c r="C45" s="19" t="s">
        <v>174</v>
      </c>
      <c r="D45" s="19" t="s">
        <v>175</v>
      </c>
      <c r="E45" s="19" t="s">
        <v>176</v>
      </c>
      <c r="F45" s="19" t="s">
        <v>177</v>
      </c>
      <c r="G45" s="19" t="s">
        <v>1117</v>
      </c>
    </row>
    <row r="46" spans="1:7" s="19" customFormat="1" x14ac:dyDescent="0.4">
      <c r="A46" s="19" t="s">
        <v>1160</v>
      </c>
      <c r="B46" s="19" t="s">
        <v>1924</v>
      </c>
      <c r="C46" s="19" t="s">
        <v>174</v>
      </c>
      <c r="D46" s="19" t="s">
        <v>175</v>
      </c>
      <c r="E46" s="19" t="s">
        <v>176</v>
      </c>
      <c r="F46" s="19" t="s">
        <v>177</v>
      </c>
      <c r="G46" s="19" t="s">
        <v>1161</v>
      </c>
    </row>
    <row r="47" spans="1:7" s="19" customFormat="1" x14ac:dyDescent="0.4">
      <c r="A47" s="19" t="s">
        <v>1184</v>
      </c>
      <c r="B47" s="19" t="s">
        <v>1925</v>
      </c>
      <c r="C47" s="19" t="s">
        <v>174</v>
      </c>
      <c r="D47" s="19" t="s">
        <v>175</v>
      </c>
      <c r="E47" s="19" t="s">
        <v>176</v>
      </c>
      <c r="F47" s="19" t="s">
        <v>177</v>
      </c>
      <c r="G47" s="19" t="s">
        <v>1185</v>
      </c>
    </row>
    <row r="48" spans="1:7" s="19" customFormat="1" x14ac:dyDescent="0.4">
      <c r="A48" s="19" t="s">
        <v>1219</v>
      </c>
      <c r="B48" s="19" t="s">
        <v>1926</v>
      </c>
      <c r="C48" s="19" t="s">
        <v>174</v>
      </c>
      <c r="D48" s="19" t="s">
        <v>175</v>
      </c>
      <c r="E48" s="19" t="s">
        <v>176</v>
      </c>
      <c r="F48" s="19" t="s">
        <v>177</v>
      </c>
      <c r="G48" s="19" t="s">
        <v>1220</v>
      </c>
    </row>
    <row r="49" spans="1:7" s="19" customFormat="1" x14ac:dyDescent="0.4">
      <c r="A49" s="19" t="s">
        <v>1258</v>
      </c>
      <c r="B49" s="19" t="s">
        <v>1927</v>
      </c>
      <c r="C49" s="19" t="s">
        <v>174</v>
      </c>
      <c r="D49" s="19" t="s">
        <v>175</v>
      </c>
      <c r="E49" s="19" t="s">
        <v>176</v>
      </c>
      <c r="F49" s="19" t="s">
        <v>177</v>
      </c>
      <c r="G49" s="19" t="s">
        <v>1259</v>
      </c>
    </row>
    <row r="50" spans="1:7" s="19" customFormat="1" x14ac:dyDescent="0.4">
      <c r="A50" s="19" t="s">
        <v>1266</v>
      </c>
      <c r="B50" s="19" t="s">
        <v>1928</v>
      </c>
      <c r="C50" s="19" t="s">
        <v>174</v>
      </c>
      <c r="D50" s="19" t="s">
        <v>175</v>
      </c>
      <c r="E50" s="19" t="s">
        <v>176</v>
      </c>
      <c r="F50" s="19" t="s">
        <v>177</v>
      </c>
      <c r="G50" s="19" t="s">
        <v>1267</v>
      </c>
    </row>
    <row r="51" spans="1:7" s="19" customFormat="1" x14ac:dyDescent="0.4">
      <c r="A51" s="19" t="s">
        <v>1297</v>
      </c>
      <c r="B51" s="19" t="s">
        <v>1929</v>
      </c>
      <c r="C51" s="19" t="s">
        <v>174</v>
      </c>
      <c r="D51" s="19" t="s">
        <v>175</v>
      </c>
      <c r="E51" s="19" t="s">
        <v>176</v>
      </c>
      <c r="F51" s="19" t="s">
        <v>177</v>
      </c>
      <c r="G51" s="19" t="s">
        <v>1298</v>
      </c>
    </row>
    <row r="52" spans="1:7" s="19" customFormat="1" x14ac:dyDescent="0.4">
      <c r="A52" s="19" t="s">
        <v>1345</v>
      </c>
      <c r="B52" s="19" t="s">
        <v>1930</v>
      </c>
      <c r="C52" s="19" t="s">
        <v>174</v>
      </c>
      <c r="D52" s="19" t="s">
        <v>175</v>
      </c>
      <c r="E52" s="19" t="s">
        <v>176</v>
      </c>
      <c r="F52" s="19" t="s">
        <v>177</v>
      </c>
      <c r="G52" s="19" t="s">
        <v>1346</v>
      </c>
    </row>
    <row r="53" spans="1:7" s="19" customFormat="1" x14ac:dyDescent="0.4">
      <c r="A53" s="19" t="s">
        <v>1354</v>
      </c>
      <c r="B53" s="19" t="s">
        <v>1931</v>
      </c>
      <c r="C53" s="19" t="s">
        <v>174</v>
      </c>
      <c r="D53" s="19" t="s">
        <v>175</v>
      </c>
      <c r="E53" s="19" t="s">
        <v>176</v>
      </c>
      <c r="F53" s="19" t="s">
        <v>177</v>
      </c>
      <c r="G53" s="19" t="s">
        <v>1355</v>
      </c>
    </row>
    <row r="54" spans="1:7" s="19" customFormat="1" x14ac:dyDescent="0.4">
      <c r="A54" s="19" t="s">
        <v>1410</v>
      </c>
      <c r="B54" s="19" t="s">
        <v>1932</v>
      </c>
      <c r="C54" s="19" t="s">
        <v>174</v>
      </c>
      <c r="D54" s="19" t="s">
        <v>175</v>
      </c>
      <c r="E54" s="19" t="s">
        <v>176</v>
      </c>
      <c r="F54" s="19" t="s">
        <v>177</v>
      </c>
      <c r="G54" s="19" t="s">
        <v>1411</v>
      </c>
    </row>
    <row r="55" spans="1:7" s="19" customFormat="1" x14ac:dyDescent="0.4">
      <c r="A55" s="19" t="s">
        <v>1424</v>
      </c>
      <c r="B55" s="19" t="s">
        <v>1933</v>
      </c>
      <c r="C55" s="19" t="s">
        <v>174</v>
      </c>
      <c r="D55" s="19" t="s">
        <v>175</v>
      </c>
      <c r="E55" s="19" t="s">
        <v>176</v>
      </c>
      <c r="F55" s="19" t="s">
        <v>177</v>
      </c>
      <c r="G55" s="19" t="s">
        <v>1425</v>
      </c>
    </row>
    <row r="56" spans="1:7" s="19" customFormat="1" x14ac:dyDescent="0.4">
      <c r="A56" s="19" t="s">
        <v>1437</v>
      </c>
      <c r="B56" s="19" t="s">
        <v>1934</v>
      </c>
      <c r="C56" s="19" t="s">
        <v>174</v>
      </c>
      <c r="D56" s="19" t="s">
        <v>175</v>
      </c>
      <c r="E56" s="19" t="s">
        <v>176</v>
      </c>
      <c r="F56" s="19" t="s">
        <v>177</v>
      </c>
      <c r="G56" s="19" t="s">
        <v>1438</v>
      </c>
    </row>
  </sheetData>
  <phoneticPr fontId="1"/>
  <pageMargins left="0.7" right="0.7" top="0.75" bottom="0.75" header="0.3" footer="0.3"/>
  <pageSetup paperSize="9" orientation="portrait" horizontalDpi="4294967292" verticalDpi="0" copies="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D23CB-A24D-4872-BE20-A7918F547238}">
  <sheetPr codeName="Sheet6">
    <tabColor rgb="FFFF0000"/>
  </sheetPr>
  <dimension ref="A1:M3"/>
  <sheetViews>
    <sheetView workbookViewId="0">
      <selection activeCell="H4" sqref="H4"/>
    </sheetView>
  </sheetViews>
  <sheetFormatPr defaultRowHeight="18.75" x14ac:dyDescent="0.4"/>
  <cols>
    <col min="1" max="1" width="13.25" bestFit="1" customWidth="1"/>
    <col min="2" max="2" width="13.25" style="13" bestFit="1" customWidth="1"/>
    <col min="3" max="3" width="15.25" bestFit="1" customWidth="1"/>
    <col min="4" max="4" width="23.5" bestFit="1" customWidth="1"/>
    <col min="5" max="5" width="11.375" bestFit="1" customWidth="1"/>
    <col min="6" max="6" width="13.375" bestFit="1" customWidth="1"/>
    <col min="7" max="7" width="14.75" bestFit="1" customWidth="1"/>
  </cols>
  <sheetData>
    <row r="1" spans="1:13" ht="19.5" thickBot="1" x14ac:dyDescent="0.45">
      <c r="A1" s="3">
        <f>B2+D2</f>
        <v>0</v>
      </c>
    </row>
    <row r="2" spans="1:13" x14ac:dyDescent="0.4">
      <c r="A2" s="1" t="s">
        <v>11</v>
      </c>
      <c r="B2" s="13">
        <f>COUNTIF(D4:D300,"*"&amp;A2&amp;"*")</f>
        <v>0</v>
      </c>
      <c r="C2" s="1" t="s">
        <v>12</v>
      </c>
      <c r="D2">
        <f>COUNTIF(D4:D300,"*"&amp;C2&amp;"*")*2</f>
        <v>0</v>
      </c>
    </row>
    <row r="3" spans="1:13" s="9" customFormat="1" ht="18" x14ac:dyDescent="0.4">
      <c r="A3" s="7" t="s">
        <v>0</v>
      </c>
      <c r="B3" s="14" t="s">
        <v>13</v>
      </c>
      <c r="C3" s="7" t="s">
        <v>1</v>
      </c>
      <c r="D3" s="7" t="s">
        <v>2</v>
      </c>
      <c r="E3" s="7" t="s">
        <v>3</v>
      </c>
      <c r="F3" s="7" t="s">
        <v>4</v>
      </c>
      <c r="G3" s="7" t="s">
        <v>5</v>
      </c>
      <c r="H3" s="23" t="s">
        <v>2213</v>
      </c>
      <c r="I3" s="23" t="s">
        <v>2214</v>
      </c>
      <c r="J3" s="23" t="s">
        <v>2215</v>
      </c>
      <c r="K3" s="23" t="s">
        <v>2216</v>
      </c>
      <c r="L3" s="23" t="s">
        <v>2217</v>
      </c>
      <c r="M3" s="23" t="s">
        <v>2218</v>
      </c>
    </row>
  </sheetData>
  <autoFilter ref="A3:G3" xr:uid="{AAFBDFBF-A81F-41BB-8A0B-37022D687C0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F3B81-BDF4-4589-87D5-215697A647B5}">
  <sheetPr codeName="Sheet7">
    <tabColor rgb="FFFF0000"/>
  </sheetPr>
  <dimension ref="A1:M57"/>
  <sheetViews>
    <sheetView workbookViewId="0">
      <selection activeCell="D25" sqref="D25"/>
    </sheetView>
  </sheetViews>
  <sheetFormatPr defaultRowHeight="18.75" x14ac:dyDescent="0.4"/>
  <cols>
    <col min="1" max="1" width="9.25" style="1" bestFit="1" customWidth="1"/>
    <col min="2" max="2" width="9.25" style="2" bestFit="1" customWidth="1"/>
    <col min="3" max="3" width="11.25" style="1" bestFit="1" customWidth="1"/>
    <col min="4" max="4" width="22.75" style="1" customWidth="1"/>
    <col min="5" max="5" width="7.375" style="1" bestFit="1" customWidth="1"/>
    <col min="6" max="6" width="9.375" style="1" bestFit="1" customWidth="1"/>
    <col min="7" max="7" width="10.75" style="1" bestFit="1" customWidth="1"/>
    <col min="8" max="16384" width="9" style="1"/>
  </cols>
  <sheetData>
    <row r="1" spans="1:13" ht="19.5" thickBot="1" x14ac:dyDescent="0.45">
      <c r="A1" s="3">
        <f>B2+D2</f>
        <v>69</v>
      </c>
      <c r="B1" s="1"/>
      <c r="F1" s="2"/>
    </row>
    <row r="2" spans="1:13" x14ac:dyDescent="0.4">
      <c r="A2" s="1" t="s">
        <v>11</v>
      </c>
      <c r="B2" s="1">
        <f>COUNTIF(D4:D292,"*"&amp;A2&amp;"*")</f>
        <v>29</v>
      </c>
      <c r="C2" s="1" t="s">
        <v>12</v>
      </c>
      <c r="D2" s="1">
        <f>COUNTIF(D4:D292,"*"&amp;C2&amp;"*")*2</f>
        <v>40</v>
      </c>
      <c r="F2" s="2"/>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20" customFormat="1" x14ac:dyDescent="0.4">
      <c r="A4" s="20" t="s">
        <v>128</v>
      </c>
      <c r="B4" s="21" t="s">
        <v>132</v>
      </c>
      <c r="C4" s="20" t="s">
        <v>23</v>
      </c>
      <c r="D4" s="20" t="s">
        <v>129</v>
      </c>
      <c r="E4" s="20" t="s">
        <v>130</v>
      </c>
      <c r="F4" s="20" t="s">
        <v>131</v>
      </c>
      <c r="G4" s="20" t="s">
        <v>132</v>
      </c>
    </row>
    <row r="5" spans="1:13" s="20" customFormat="1" x14ac:dyDescent="0.4">
      <c r="A5" s="20" t="s">
        <v>2168</v>
      </c>
      <c r="B5" s="21" t="s">
        <v>1675</v>
      </c>
      <c r="C5" s="20" t="s">
        <v>123</v>
      </c>
      <c r="D5" s="20" t="s">
        <v>168</v>
      </c>
      <c r="E5" s="20" t="s">
        <v>169</v>
      </c>
      <c r="F5" s="20" t="s">
        <v>170</v>
      </c>
      <c r="G5" s="20" t="s">
        <v>171</v>
      </c>
    </row>
    <row r="6" spans="1:13" s="20" customFormat="1" x14ac:dyDescent="0.4">
      <c r="A6" s="20" t="s">
        <v>189</v>
      </c>
      <c r="B6" s="20" t="s">
        <v>1467</v>
      </c>
      <c r="C6" s="20" t="s">
        <v>190</v>
      </c>
      <c r="D6" s="20" t="s">
        <v>191</v>
      </c>
      <c r="E6" s="20" t="s">
        <v>192</v>
      </c>
      <c r="F6" s="20" t="s">
        <v>193</v>
      </c>
      <c r="G6" s="20" t="s">
        <v>194</v>
      </c>
    </row>
    <row r="7" spans="1:13" s="20" customFormat="1" x14ac:dyDescent="0.4">
      <c r="A7" s="20" t="s">
        <v>228</v>
      </c>
      <c r="B7" s="21" t="s">
        <v>1471</v>
      </c>
      <c r="C7" s="20" t="s">
        <v>94</v>
      </c>
      <c r="D7" s="20" t="s">
        <v>229</v>
      </c>
      <c r="E7" s="20" t="s">
        <v>230</v>
      </c>
      <c r="F7" s="20" t="s">
        <v>231</v>
      </c>
      <c r="G7" s="20" t="s">
        <v>232</v>
      </c>
    </row>
    <row r="8" spans="1:13" s="20" customFormat="1" x14ac:dyDescent="0.4">
      <c r="A8" s="20" t="s">
        <v>293</v>
      </c>
      <c r="B8" s="20" t="s">
        <v>1790</v>
      </c>
      <c r="C8" s="20" t="s">
        <v>23</v>
      </c>
      <c r="D8" s="20" t="s">
        <v>129</v>
      </c>
      <c r="E8" s="20" t="s">
        <v>130</v>
      </c>
      <c r="F8" s="20" t="s">
        <v>131</v>
      </c>
      <c r="G8" s="20" t="s">
        <v>294</v>
      </c>
    </row>
    <row r="9" spans="1:13" s="20" customFormat="1" x14ac:dyDescent="0.4">
      <c r="A9" s="20" t="s">
        <v>296</v>
      </c>
      <c r="B9" s="20" t="s">
        <v>1742</v>
      </c>
      <c r="C9" s="20" t="s">
        <v>167</v>
      </c>
      <c r="D9" s="20" t="s">
        <v>168</v>
      </c>
      <c r="E9" s="20" t="s">
        <v>169</v>
      </c>
      <c r="F9" s="20" t="s">
        <v>170</v>
      </c>
      <c r="G9" s="20" t="s">
        <v>297</v>
      </c>
    </row>
    <row r="10" spans="1:13" s="20" customFormat="1" x14ac:dyDescent="0.4">
      <c r="A10" s="20" t="s">
        <v>358</v>
      </c>
      <c r="B10" s="20" t="s">
        <v>1478</v>
      </c>
      <c r="C10" s="20" t="s">
        <v>94</v>
      </c>
      <c r="D10" s="20" t="s">
        <v>229</v>
      </c>
      <c r="E10" s="20" t="s">
        <v>230</v>
      </c>
      <c r="F10" s="20" t="s">
        <v>231</v>
      </c>
      <c r="G10" s="20" t="s">
        <v>359</v>
      </c>
    </row>
    <row r="11" spans="1:13" s="20" customFormat="1" x14ac:dyDescent="0.4">
      <c r="A11" s="20" t="s">
        <v>364</v>
      </c>
      <c r="B11" s="21" t="s">
        <v>1479</v>
      </c>
      <c r="C11" s="20" t="s">
        <v>365</v>
      </c>
      <c r="D11" s="20" t="s">
        <v>366</v>
      </c>
      <c r="E11" s="20" t="s">
        <v>367</v>
      </c>
      <c r="F11" s="20" t="s">
        <v>368</v>
      </c>
      <c r="G11" s="20" t="s">
        <v>369</v>
      </c>
    </row>
    <row r="12" spans="1:13" s="20" customFormat="1" x14ac:dyDescent="0.4">
      <c r="A12" s="20" t="s">
        <v>378</v>
      </c>
      <c r="B12" s="20" t="s">
        <v>1456</v>
      </c>
      <c r="C12" s="20" t="s">
        <v>190</v>
      </c>
      <c r="D12" s="20" t="s">
        <v>191</v>
      </c>
      <c r="E12" s="20" t="s">
        <v>192</v>
      </c>
      <c r="F12" s="20" t="s">
        <v>193</v>
      </c>
      <c r="G12" s="20" t="s">
        <v>379</v>
      </c>
    </row>
    <row r="13" spans="1:13" s="20" customFormat="1" x14ac:dyDescent="0.4">
      <c r="A13" s="20" t="s">
        <v>409</v>
      </c>
      <c r="B13" s="20" t="s">
        <v>410</v>
      </c>
      <c r="C13" s="20" t="s">
        <v>365</v>
      </c>
      <c r="D13" s="20" t="s">
        <v>366</v>
      </c>
      <c r="E13" s="20" t="s">
        <v>367</v>
      </c>
      <c r="F13" s="20" t="s">
        <v>368</v>
      </c>
      <c r="G13" s="20" t="s">
        <v>410</v>
      </c>
    </row>
    <row r="14" spans="1:13" s="20" customFormat="1" x14ac:dyDescent="0.4">
      <c r="A14" s="20" t="s">
        <v>411</v>
      </c>
      <c r="B14" s="20" t="s">
        <v>415</v>
      </c>
      <c r="C14" s="20" t="s">
        <v>93</v>
      </c>
      <c r="D14" s="20" t="s">
        <v>412</v>
      </c>
      <c r="E14" s="20" t="s">
        <v>413</v>
      </c>
      <c r="F14" s="20" t="s">
        <v>414</v>
      </c>
      <c r="G14" s="20" t="s">
        <v>415</v>
      </c>
    </row>
    <row r="15" spans="1:13" s="20" customFormat="1" x14ac:dyDescent="0.4">
      <c r="A15" s="20" t="s">
        <v>504</v>
      </c>
      <c r="B15" s="20" t="s">
        <v>1686</v>
      </c>
      <c r="C15" s="20" t="s">
        <v>94</v>
      </c>
      <c r="D15" s="20" t="s">
        <v>229</v>
      </c>
      <c r="E15" s="20" t="s">
        <v>230</v>
      </c>
      <c r="F15" s="20" t="s">
        <v>231</v>
      </c>
      <c r="G15" s="20" t="s">
        <v>505</v>
      </c>
    </row>
    <row r="16" spans="1:13" s="20" customFormat="1" x14ac:dyDescent="0.4">
      <c r="A16" s="20" t="s">
        <v>521</v>
      </c>
      <c r="B16" s="20" t="s">
        <v>1691</v>
      </c>
      <c r="C16" s="20" t="s">
        <v>365</v>
      </c>
      <c r="D16" s="20" t="s">
        <v>366</v>
      </c>
      <c r="E16" s="20" t="s">
        <v>367</v>
      </c>
      <c r="F16" s="20" t="s">
        <v>368</v>
      </c>
      <c r="G16" s="20" t="s">
        <v>522</v>
      </c>
    </row>
    <row r="17" spans="1:7" s="20" customFormat="1" x14ac:dyDescent="0.4">
      <c r="A17" s="20" t="s">
        <v>529</v>
      </c>
      <c r="B17" s="20" t="s">
        <v>1693</v>
      </c>
      <c r="C17" s="20" t="s">
        <v>19</v>
      </c>
      <c r="D17" s="20" t="s">
        <v>530</v>
      </c>
      <c r="E17" s="20" t="s">
        <v>531</v>
      </c>
      <c r="F17" s="20" t="s">
        <v>532</v>
      </c>
      <c r="G17" s="20" t="s">
        <v>533</v>
      </c>
    </row>
    <row r="18" spans="1:7" s="20" customFormat="1" x14ac:dyDescent="0.4">
      <c r="A18" s="20" t="s">
        <v>545</v>
      </c>
      <c r="B18" s="20" t="s">
        <v>1696</v>
      </c>
      <c r="C18" s="20" t="s">
        <v>365</v>
      </c>
      <c r="D18" s="20" t="s">
        <v>366</v>
      </c>
      <c r="E18" s="20" t="s">
        <v>367</v>
      </c>
      <c r="F18" s="20" t="s">
        <v>368</v>
      </c>
      <c r="G18" s="20" t="s">
        <v>546</v>
      </c>
    </row>
    <row r="19" spans="1:7" s="20" customFormat="1" x14ac:dyDescent="0.4">
      <c r="A19" s="20" t="s">
        <v>617</v>
      </c>
      <c r="B19" s="20" t="s">
        <v>1713</v>
      </c>
      <c r="C19" s="20" t="s">
        <v>19</v>
      </c>
      <c r="D19" s="20" t="s">
        <v>530</v>
      </c>
      <c r="E19" s="20" t="s">
        <v>531</v>
      </c>
      <c r="F19" s="20" t="s">
        <v>532</v>
      </c>
      <c r="G19" s="20" t="s">
        <v>618</v>
      </c>
    </row>
    <row r="20" spans="1:7" s="20" customFormat="1" x14ac:dyDescent="0.4">
      <c r="A20" s="20" t="s">
        <v>651</v>
      </c>
      <c r="B20" s="20" t="s">
        <v>1722</v>
      </c>
      <c r="C20" s="20" t="s">
        <v>19</v>
      </c>
      <c r="D20" s="20" t="s">
        <v>530</v>
      </c>
      <c r="E20" s="20" t="s">
        <v>531</v>
      </c>
      <c r="F20" s="20" t="s">
        <v>532</v>
      </c>
      <c r="G20" s="20" t="s">
        <v>652</v>
      </c>
    </row>
    <row r="21" spans="1:7" s="20" customFormat="1" x14ac:dyDescent="0.4">
      <c r="A21" s="20" t="s">
        <v>695</v>
      </c>
      <c r="B21" s="20" t="s">
        <v>1791</v>
      </c>
      <c r="C21" s="20" t="s">
        <v>365</v>
      </c>
      <c r="D21" s="20" t="s">
        <v>366</v>
      </c>
      <c r="E21" s="20" t="s">
        <v>367</v>
      </c>
      <c r="F21" s="20" t="s">
        <v>368</v>
      </c>
      <c r="G21" s="20" t="s">
        <v>696</v>
      </c>
    </row>
    <row r="22" spans="1:7" s="20" customFormat="1" x14ac:dyDescent="0.4">
      <c r="A22" s="20" t="s">
        <v>717</v>
      </c>
      <c r="B22" s="20" t="s">
        <v>1792</v>
      </c>
      <c r="C22" s="20" t="s">
        <v>23</v>
      </c>
      <c r="D22" s="20" t="s">
        <v>129</v>
      </c>
      <c r="E22" s="20" t="s">
        <v>130</v>
      </c>
      <c r="F22" s="20" t="s">
        <v>131</v>
      </c>
      <c r="G22" s="20" t="s">
        <v>718</v>
      </c>
    </row>
    <row r="23" spans="1:7" s="20" customFormat="1" x14ac:dyDescent="0.4">
      <c r="A23" s="20" t="s">
        <v>719</v>
      </c>
      <c r="B23" s="20" t="s">
        <v>1792</v>
      </c>
      <c r="C23" s="20" t="s">
        <v>23</v>
      </c>
      <c r="D23" s="20" t="s">
        <v>129</v>
      </c>
      <c r="E23" s="20" t="s">
        <v>130</v>
      </c>
      <c r="F23" s="20" t="s">
        <v>131</v>
      </c>
      <c r="G23" s="20" t="s">
        <v>718</v>
      </c>
    </row>
    <row r="24" spans="1:7" s="20" customFormat="1" x14ac:dyDescent="0.4">
      <c r="A24" s="20" t="s">
        <v>720</v>
      </c>
      <c r="B24" s="20" t="s">
        <v>1793</v>
      </c>
      <c r="C24" s="20" t="s">
        <v>93</v>
      </c>
      <c r="D24" s="20" t="s">
        <v>412</v>
      </c>
      <c r="E24" s="20" t="s">
        <v>413</v>
      </c>
      <c r="F24" s="20" t="s">
        <v>414</v>
      </c>
      <c r="G24" s="20" t="s">
        <v>721</v>
      </c>
    </row>
    <row r="25" spans="1:7" s="20" customFormat="1" x14ac:dyDescent="0.4">
      <c r="A25" s="20" t="s">
        <v>735</v>
      </c>
      <c r="B25" s="20" t="s">
        <v>1794</v>
      </c>
      <c r="C25" s="20" t="s">
        <v>365</v>
      </c>
      <c r="D25" s="20" t="s">
        <v>366</v>
      </c>
      <c r="E25" s="20" t="s">
        <v>367</v>
      </c>
      <c r="F25" s="20" t="s">
        <v>368</v>
      </c>
      <c r="G25" s="20" t="s">
        <v>736</v>
      </c>
    </row>
    <row r="26" spans="1:7" s="20" customFormat="1" x14ac:dyDescent="0.4">
      <c r="A26" s="20" t="s">
        <v>775</v>
      </c>
      <c r="B26" s="21" t="s">
        <v>1755</v>
      </c>
      <c r="C26" s="20" t="s">
        <v>19</v>
      </c>
      <c r="D26" s="20" t="s">
        <v>530</v>
      </c>
      <c r="E26" s="20" t="s">
        <v>531</v>
      </c>
      <c r="F26" s="20" t="s">
        <v>532</v>
      </c>
      <c r="G26" s="20" t="s">
        <v>776</v>
      </c>
    </row>
    <row r="27" spans="1:7" s="20" customFormat="1" x14ac:dyDescent="0.4">
      <c r="A27" s="20" t="s">
        <v>777</v>
      </c>
      <c r="B27" s="21" t="s">
        <v>1755</v>
      </c>
      <c r="C27" s="20" t="s">
        <v>19</v>
      </c>
      <c r="D27" s="20" t="s">
        <v>530</v>
      </c>
      <c r="E27" s="20" t="s">
        <v>531</v>
      </c>
      <c r="F27" s="20" t="s">
        <v>532</v>
      </c>
      <c r="G27" s="20" t="s">
        <v>776</v>
      </c>
    </row>
    <row r="28" spans="1:7" s="20" customFormat="1" x14ac:dyDescent="0.4">
      <c r="A28" s="20" t="s">
        <v>778</v>
      </c>
      <c r="B28" s="20" t="s">
        <v>1795</v>
      </c>
      <c r="C28" s="20" t="s">
        <v>365</v>
      </c>
      <c r="D28" s="20" t="s">
        <v>366</v>
      </c>
      <c r="E28" s="20" t="s">
        <v>367</v>
      </c>
      <c r="F28" s="20" t="s">
        <v>368</v>
      </c>
      <c r="G28" s="20" t="s">
        <v>779</v>
      </c>
    </row>
    <row r="29" spans="1:7" s="20" customFormat="1" x14ac:dyDescent="0.4">
      <c r="A29" s="20" t="s">
        <v>792</v>
      </c>
      <c r="B29" s="20" t="s">
        <v>1796</v>
      </c>
      <c r="C29" s="20" t="s">
        <v>19</v>
      </c>
      <c r="D29" s="20" t="s">
        <v>530</v>
      </c>
      <c r="E29" s="20" t="s">
        <v>531</v>
      </c>
      <c r="F29" s="20" t="s">
        <v>532</v>
      </c>
      <c r="G29" s="20" t="s">
        <v>793</v>
      </c>
    </row>
    <row r="30" spans="1:7" s="20" customFormat="1" x14ac:dyDescent="0.4">
      <c r="A30" s="20" t="s">
        <v>834</v>
      </c>
      <c r="B30" s="20" t="s">
        <v>1797</v>
      </c>
      <c r="C30" s="20" t="s">
        <v>94</v>
      </c>
      <c r="D30" s="20" t="s">
        <v>229</v>
      </c>
      <c r="E30" s="20" t="s">
        <v>230</v>
      </c>
      <c r="F30" s="20" t="s">
        <v>231</v>
      </c>
      <c r="G30" s="20" t="s">
        <v>835</v>
      </c>
    </row>
    <row r="31" spans="1:7" s="20" customFormat="1" x14ac:dyDescent="0.4">
      <c r="A31" s="20" t="s">
        <v>844</v>
      </c>
      <c r="B31" s="20" t="s">
        <v>1798</v>
      </c>
      <c r="C31" s="20" t="s">
        <v>19</v>
      </c>
      <c r="D31" s="20" t="s">
        <v>530</v>
      </c>
      <c r="E31" s="20" t="s">
        <v>531</v>
      </c>
      <c r="F31" s="20" t="s">
        <v>532</v>
      </c>
      <c r="G31" s="20" t="s">
        <v>845</v>
      </c>
    </row>
    <row r="32" spans="1:7" s="20" customFormat="1" x14ac:dyDescent="0.4">
      <c r="A32" s="20" t="s">
        <v>846</v>
      </c>
      <c r="B32" s="20" t="s">
        <v>1799</v>
      </c>
      <c r="C32" s="20" t="s">
        <v>19</v>
      </c>
      <c r="D32" s="20" t="s">
        <v>530</v>
      </c>
      <c r="E32" s="20" t="s">
        <v>531</v>
      </c>
      <c r="F32" s="20" t="s">
        <v>532</v>
      </c>
      <c r="G32" s="20" t="s">
        <v>847</v>
      </c>
    </row>
    <row r="33" spans="1:7" s="20" customFormat="1" x14ac:dyDescent="0.4">
      <c r="A33" s="20" t="s">
        <v>866</v>
      </c>
      <c r="B33" s="20" t="s">
        <v>1800</v>
      </c>
      <c r="C33" s="20" t="s">
        <v>93</v>
      </c>
      <c r="D33" s="20" t="s">
        <v>412</v>
      </c>
      <c r="E33" s="20" t="s">
        <v>413</v>
      </c>
      <c r="F33" s="20" t="s">
        <v>414</v>
      </c>
      <c r="G33" s="20" t="s">
        <v>867</v>
      </c>
    </row>
    <row r="34" spans="1:7" s="20" customFormat="1" x14ac:dyDescent="0.4">
      <c r="A34" s="20" t="s">
        <v>871</v>
      </c>
      <c r="B34" s="20" t="s">
        <v>1801</v>
      </c>
      <c r="C34" s="20" t="s">
        <v>365</v>
      </c>
      <c r="D34" s="20" t="s">
        <v>366</v>
      </c>
      <c r="E34" s="20" t="s">
        <v>367</v>
      </c>
      <c r="F34" s="20" t="s">
        <v>368</v>
      </c>
      <c r="G34" s="20" t="s">
        <v>872</v>
      </c>
    </row>
    <row r="35" spans="1:7" s="20" customFormat="1" x14ac:dyDescent="0.4">
      <c r="A35" s="20" t="s">
        <v>879</v>
      </c>
      <c r="B35" s="20" t="s">
        <v>1802</v>
      </c>
      <c r="C35" s="20" t="s">
        <v>93</v>
      </c>
      <c r="D35" s="20" t="s">
        <v>412</v>
      </c>
      <c r="E35" s="20" t="s">
        <v>413</v>
      </c>
      <c r="F35" s="20" t="s">
        <v>414</v>
      </c>
      <c r="G35" s="20" t="s">
        <v>880</v>
      </c>
    </row>
    <row r="36" spans="1:7" s="20" customFormat="1" x14ac:dyDescent="0.4">
      <c r="A36" s="20" t="s">
        <v>889</v>
      </c>
      <c r="B36" s="20" t="s">
        <v>1803</v>
      </c>
      <c r="C36" s="20" t="s">
        <v>93</v>
      </c>
      <c r="D36" s="20" t="s">
        <v>412</v>
      </c>
      <c r="E36" s="20" t="s">
        <v>413</v>
      </c>
      <c r="F36" s="20" t="s">
        <v>414</v>
      </c>
      <c r="G36" s="20" t="s">
        <v>890</v>
      </c>
    </row>
    <row r="37" spans="1:7" s="20" customFormat="1" x14ac:dyDescent="0.4">
      <c r="A37" s="20" t="s">
        <v>944</v>
      </c>
      <c r="B37" s="20" t="s">
        <v>1493</v>
      </c>
      <c r="C37" s="20" t="s">
        <v>94</v>
      </c>
      <c r="D37" s="20" t="s">
        <v>229</v>
      </c>
      <c r="E37" s="20" t="s">
        <v>230</v>
      </c>
      <c r="F37" s="20" t="s">
        <v>231</v>
      </c>
      <c r="G37" s="20" t="s">
        <v>945</v>
      </c>
    </row>
    <row r="38" spans="1:7" s="20" customFormat="1" x14ac:dyDescent="0.4">
      <c r="A38" s="20" t="s">
        <v>954</v>
      </c>
      <c r="B38" s="21" t="s">
        <v>1496</v>
      </c>
      <c r="C38" s="20" t="s">
        <v>19</v>
      </c>
      <c r="D38" s="20" t="s">
        <v>530</v>
      </c>
      <c r="E38" s="20" t="s">
        <v>531</v>
      </c>
      <c r="F38" s="20" t="s">
        <v>532</v>
      </c>
      <c r="G38" s="20" t="s">
        <v>955</v>
      </c>
    </row>
    <row r="39" spans="1:7" s="20" customFormat="1" x14ac:dyDescent="0.4">
      <c r="A39" s="20" t="s">
        <v>956</v>
      </c>
      <c r="B39" s="20" t="s">
        <v>1497</v>
      </c>
      <c r="C39" s="20" t="s">
        <v>19</v>
      </c>
      <c r="D39" s="20" t="s">
        <v>530</v>
      </c>
      <c r="E39" s="20" t="s">
        <v>531</v>
      </c>
      <c r="F39" s="20" t="s">
        <v>532</v>
      </c>
      <c r="G39" s="20" t="s">
        <v>957</v>
      </c>
    </row>
    <row r="40" spans="1:7" s="20" customFormat="1" x14ac:dyDescent="0.4">
      <c r="A40" s="20" t="s">
        <v>1052</v>
      </c>
      <c r="B40" s="20" t="s">
        <v>1460</v>
      </c>
      <c r="C40" s="20" t="s">
        <v>365</v>
      </c>
      <c r="D40" s="20" t="s">
        <v>366</v>
      </c>
      <c r="E40" s="20" t="s">
        <v>367</v>
      </c>
      <c r="F40" s="20" t="s">
        <v>368</v>
      </c>
      <c r="G40" s="20" t="s">
        <v>1053</v>
      </c>
    </row>
    <row r="41" spans="1:7" s="20" customFormat="1" x14ac:dyDescent="0.4">
      <c r="A41" s="20" t="s">
        <v>1057</v>
      </c>
      <c r="B41" s="20" t="s">
        <v>1507</v>
      </c>
      <c r="C41" s="20" t="s">
        <v>19</v>
      </c>
      <c r="D41" s="20" t="s">
        <v>530</v>
      </c>
      <c r="E41" s="20" t="s">
        <v>531</v>
      </c>
      <c r="F41" s="20" t="s">
        <v>532</v>
      </c>
      <c r="G41" s="20" t="s">
        <v>1058</v>
      </c>
    </row>
    <row r="42" spans="1:7" s="20" customFormat="1" x14ac:dyDescent="0.4">
      <c r="A42" s="20" t="s">
        <v>1062</v>
      </c>
      <c r="B42" s="20" t="s">
        <v>1508</v>
      </c>
      <c r="C42" s="20" t="s">
        <v>190</v>
      </c>
      <c r="D42" s="20" t="s">
        <v>191</v>
      </c>
      <c r="E42" s="20" t="s">
        <v>192</v>
      </c>
      <c r="F42" s="20" t="s">
        <v>193</v>
      </c>
      <c r="G42" s="20" t="s">
        <v>1063</v>
      </c>
    </row>
    <row r="43" spans="1:7" s="20" customFormat="1" x14ac:dyDescent="0.4">
      <c r="A43" s="20" t="s">
        <v>1122</v>
      </c>
      <c r="B43" s="20" t="s">
        <v>1520</v>
      </c>
      <c r="C43" s="20" t="s">
        <v>94</v>
      </c>
      <c r="D43" s="20" t="s">
        <v>229</v>
      </c>
      <c r="E43" s="20" t="s">
        <v>230</v>
      </c>
      <c r="F43" s="20" t="s">
        <v>231</v>
      </c>
      <c r="G43" s="20" t="s">
        <v>1123</v>
      </c>
    </row>
    <row r="44" spans="1:7" s="20" customFormat="1" x14ac:dyDescent="0.4">
      <c r="A44" s="20" t="s">
        <v>1124</v>
      </c>
      <c r="B44" s="20" t="s">
        <v>1521</v>
      </c>
      <c r="C44" s="20" t="s">
        <v>93</v>
      </c>
      <c r="D44" s="20" t="s">
        <v>412</v>
      </c>
      <c r="E44" s="20" t="s">
        <v>413</v>
      </c>
      <c r="F44" s="20" t="s">
        <v>414</v>
      </c>
      <c r="G44" s="20" t="s">
        <v>1125</v>
      </c>
    </row>
    <row r="45" spans="1:7" s="20" customFormat="1" x14ac:dyDescent="0.4">
      <c r="A45" s="20" t="s">
        <v>1192</v>
      </c>
      <c r="B45" s="20" t="s">
        <v>1531</v>
      </c>
      <c r="C45" s="20" t="s">
        <v>190</v>
      </c>
      <c r="D45" s="20" t="s">
        <v>191</v>
      </c>
      <c r="E45" s="20" t="s">
        <v>192</v>
      </c>
      <c r="F45" s="20" t="s">
        <v>193</v>
      </c>
      <c r="G45" s="20" t="s">
        <v>1193</v>
      </c>
    </row>
    <row r="46" spans="1:7" s="20" customFormat="1" x14ac:dyDescent="0.4">
      <c r="A46" s="20" t="s">
        <v>1194</v>
      </c>
      <c r="B46" s="20" t="s">
        <v>1531</v>
      </c>
      <c r="C46" s="20" t="s">
        <v>190</v>
      </c>
      <c r="D46" s="20" t="s">
        <v>191</v>
      </c>
      <c r="E46" s="20" t="s">
        <v>192</v>
      </c>
      <c r="F46" s="20" t="s">
        <v>193</v>
      </c>
      <c r="G46" s="20" t="s">
        <v>1193</v>
      </c>
    </row>
    <row r="47" spans="1:7" s="20" customFormat="1" x14ac:dyDescent="0.4">
      <c r="A47" s="20" t="s">
        <v>1216</v>
      </c>
      <c r="B47" s="20" t="s">
        <v>1534</v>
      </c>
      <c r="C47" s="20" t="s">
        <v>94</v>
      </c>
      <c r="D47" s="20" t="s">
        <v>229</v>
      </c>
      <c r="E47" s="20" t="s">
        <v>230</v>
      </c>
      <c r="F47" s="20" t="s">
        <v>231</v>
      </c>
      <c r="G47" s="20" t="s">
        <v>1217</v>
      </c>
    </row>
    <row r="48" spans="1:7" s="20" customFormat="1" x14ac:dyDescent="0.4">
      <c r="A48" s="20" t="s">
        <v>1228</v>
      </c>
      <c r="B48" s="20" t="s">
        <v>1536</v>
      </c>
      <c r="C48" s="20" t="s">
        <v>190</v>
      </c>
      <c r="D48" s="20" t="s">
        <v>191</v>
      </c>
      <c r="E48" s="20" t="s">
        <v>192</v>
      </c>
      <c r="F48" s="20" t="s">
        <v>193</v>
      </c>
      <c r="G48" s="20" t="s">
        <v>1229</v>
      </c>
    </row>
    <row r="49" spans="1:7" s="20" customFormat="1" x14ac:dyDescent="0.4">
      <c r="A49" s="20" t="s">
        <v>2170</v>
      </c>
      <c r="B49" s="21" t="s">
        <v>1538</v>
      </c>
      <c r="C49" s="20" t="s">
        <v>93</v>
      </c>
      <c r="D49" s="20" t="s">
        <v>412</v>
      </c>
      <c r="E49" s="20" t="s">
        <v>413</v>
      </c>
      <c r="F49" s="20" t="s">
        <v>414</v>
      </c>
      <c r="G49" s="20" t="s">
        <v>1235</v>
      </c>
    </row>
    <row r="50" spans="1:7" s="20" customFormat="1" x14ac:dyDescent="0.4">
      <c r="A50" s="20" t="s">
        <v>1244</v>
      </c>
      <c r="B50" s="20" t="s">
        <v>1540</v>
      </c>
      <c r="C50" s="20" t="s">
        <v>91</v>
      </c>
      <c r="D50" s="20" t="s">
        <v>1245</v>
      </c>
      <c r="E50" s="20" t="s">
        <v>1246</v>
      </c>
      <c r="F50" s="20" t="s">
        <v>1247</v>
      </c>
      <c r="G50" s="20" t="s">
        <v>1248</v>
      </c>
    </row>
    <row r="51" spans="1:7" s="20" customFormat="1" x14ac:dyDescent="0.4">
      <c r="A51" s="20" t="s">
        <v>1320</v>
      </c>
      <c r="B51" s="20" t="s">
        <v>1553</v>
      </c>
      <c r="C51" s="20" t="s">
        <v>190</v>
      </c>
      <c r="D51" s="20" t="s">
        <v>191</v>
      </c>
      <c r="E51" s="20" t="s">
        <v>192</v>
      </c>
      <c r="F51" s="20" t="s">
        <v>193</v>
      </c>
      <c r="G51" s="20" t="s">
        <v>1321</v>
      </c>
    </row>
    <row r="52" spans="1:7" s="20" customFormat="1" x14ac:dyDescent="0.4">
      <c r="A52" s="20" t="s">
        <v>1334</v>
      </c>
      <c r="B52" s="20" t="s">
        <v>1556</v>
      </c>
      <c r="C52" s="20" t="s">
        <v>93</v>
      </c>
      <c r="D52" s="20" t="s">
        <v>412</v>
      </c>
      <c r="E52" s="20" t="s">
        <v>413</v>
      </c>
      <c r="F52" s="20" t="s">
        <v>414</v>
      </c>
      <c r="G52" s="20" t="s">
        <v>1335</v>
      </c>
    </row>
    <row r="53" spans="1:7" s="20" customFormat="1" x14ac:dyDescent="0.4">
      <c r="A53" s="20" t="s">
        <v>390</v>
      </c>
      <c r="B53" s="21" t="s">
        <v>1481</v>
      </c>
      <c r="C53" s="20" t="s">
        <v>94</v>
      </c>
      <c r="E53" s="20" t="s">
        <v>230</v>
      </c>
      <c r="F53" s="20" t="s">
        <v>231</v>
      </c>
      <c r="G53" s="20" t="s">
        <v>391</v>
      </c>
    </row>
    <row r="54" spans="1:7" s="20" customFormat="1" x14ac:dyDescent="0.4">
      <c r="A54" s="20" t="s">
        <v>403</v>
      </c>
      <c r="B54" s="21" t="s">
        <v>1483</v>
      </c>
      <c r="C54" s="20" t="s">
        <v>94</v>
      </c>
      <c r="E54" s="20" t="s">
        <v>230</v>
      </c>
      <c r="F54" s="20" t="s">
        <v>231</v>
      </c>
      <c r="G54" s="20" t="s">
        <v>404</v>
      </c>
    </row>
    <row r="55" spans="1:7" s="20" customFormat="1" x14ac:dyDescent="0.4">
      <c r="A55" s="20" t="s">
        <v>1077</v>
      </c>
      <c r="B55" s="21" t="s">
        <v>1511</v>
      </c>
      <c r="C55" s="20" t="s">
        <v>190</v>
      </c>
      <c r="E55" s="20" t="s">
        <v>192</v>
      </c>
      <c r="F55" s="20" t="s">
        <v>193</v>
      </c>
      <c r="G55" s="20" t="s">
        <v>1078</v>
      </c>
    </row>
    <row r="56" spans="1:7" s="20" customFormat="1" x14ac:dyDescent="0.4">
      <c r="A56" s="20" t="s">
        <v>1168</v>
      </c>
      <c r="B56" s="21" t="s">
        <v>1527</v>
      </c>
      <c r="C56" s="20" t="s">
        <v>93</v>
      </c>
      <c r="E56" s="20" t="s">
        <v>413</v>
      </c>
      <c r="F56" s="20" t="s">
        <v>414</v>
      </c>
      <c r="G56" s="20" t="s">
        <v>1169</v>
      </c>
    </row>
    <row r="57" spans="1:7" s="20" customFormat="1" x14ac:dyDescent="0.4">
      <c r="A57" s="20" t="s">
        <v>2169</v>
      </c>
      <c r="B57" s="21" t="s">
        <v>1572</v>
      </c>
      <c r="C57" s="20" t="s">
        <v>94</v>
      </c>
      <c r="E57" s="20" t="s">
        <v>230</v>
      </c>
      <c r="F57" s="20" t="s">
        <v>231</v>
      </c>
      <c r="G57" s="20" t="s">
        <v>1443</v>
      </c>
    </row>
  </sheetData>
  <autoFilter ref="A3:G52" xr:uid="{A64F3B81-BDF4-4589-87D5-215697A647B5}"/>
  <phoneticPr fontId="1"/>
  <pageMargins left="0.7" right="0.7" top="0.75" bottom="0.75" header="0.3" footer="0.3"/>
  <pageSetup paperSize="9" orientation="portrait" horizontalDpi="4294967292" verticalDpi="0" copies="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0BD0-1005-4980-A8E9-8BC896089C71}">
  <sheetPr codeName="Sheet8">
    <tabColor rgb="FFFF0000"/>
  </sheetPr>
  <dimension ref="A1:M20"/>
  <sheetViews>
    <sheetView topLeftCell="B1" workbookViewId="0">
      <selection activeCell="J18" sqref="J18"/>
    </sheetView>
  </sheetViews>
  <sheetFormatPr defaultRowHeight="18.75" x14ac:dyDescent="0.4"/>
  <cols>
    <col min="1" max="2" width="9.25" style="1" bestFit="1" customWidth="1"/>
    <col min="3" max="3" width="11.25" style="1" bestFit="1" customWidth="1"/>
    <col min="4" max="4" width="22.75" style="1" customWidth="1"/>
    <col min="5" max="5" width="7.375" style="1" bestFit="1" customWidth="1"/>
    <col min="6" max="6" width="9.375" style="1" bestFit="1" customWidth="1"/>
    <col min="7" max="7" width="10.75" style="1" bestFit="1" customWidth="1"/>
    <col min="8" max="16384" width="9" style="1"/>
  </cols>
  <sheetData>
    <row r="1" spans="1:13" ht="19.5" thickBot="1" x14ac:dyDescent="0.45">
      <c r="A1" s="3">
        <f>B2+D2</f>
        <v>16</v>
      </c>
      <c r="F1" s="2"/>
    </row>
    <row r="2" spans="1:13" x14ac:dyDescent="0.4">
      <c r="A2" s="1" t="s">
        <v>11</v>
      </c>
      <c r="B2" s="1">
        <f>COUNTIF(D4:D300,"*"&amp;A2&amp;"*")</f>
        <v>4</v>
      </c>
      <c r="C2" s="1" t="s">
        <v>12</v>
      </c>
      <c r="D2" s="1">
        <f>COUNTIF(D4:D300,"*"&amp;C2&amp;"*")*2</f>
        <v>12</v>
      </c>
      <c r="F2" s="2"/>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s="20" customFormat="1" x14ac:dyDescent="0.4">
      <c r="A4" s="13" t="s">
        <v>288</v>
      </c>
      <c r="B4" s="13" t="s">
        <v>1789</v>
      </c>
      <c r="C4" s="13" t="s">
        <v>22</v>
      </c>
      <c r="D4" s="13" t="s">
        <v>289</v>
      </c>
      <c r="E4" s="13" t="s">
        <v>290</v>
      </c>
      <c r="F4" s="13" t="s">
        <v>291</v>
      </c>
      <c r="G4" s="13" t="s">
        <v>292</v>
      </c>
      <c r="H4" s="13"/>
      <c r="I4" s="13"/>
      <c r="J4" s="13"/>
      <c r="K4" s="13"/>
      <c r="L4" s="13"/>
    </row>
    <row r="5" spans="1:13" s="20" customFormat="1" x14ac:dyDescent="0.4">
      <c r="A5" s="13" t="s">
        <v>298</v>
      </c>
      <c r="B5" s="13" t="s">
        <v>1666</v>
      </c>
      <c r="C5" s="13" t="s">
        <v>98</v>
      </c>
      <c r="D5" s="13" t="s">
        <v>299</v>
      </c>
      <c r="E5" s="13" t="s">
        <v>300</v>
      </c>
      <c r="F5" s="13" t="s">
        <v>301</v>
      </c>
      <c r="G5" s="13" t="s">
        <v>302</v>
      </c>
      <c r="H5" s="13"/>
      <c r="I5" s="13"/>
      <c r="J5" s="13"/>
      <c r="K5" s="13"/>
      <c r="L5" s="13"/>
    </row>
    <row r="6" spans="1:13" s="20" customFormat="1" x14ac:dyDescent="0.4">
      <c r="A6" s="13" t="s">
        <v>488</v>
      </c>
      <c r="B6" s="13" t="s">
        <v>1684</v>
      </c>
      <c r="C6" s="13" t="s">
        <v>99</v>
      </c>
      <c r="D6" s="13" t="s">
        <v>489</v>
      </c>
      <c r="E6" s="13" t="s">
        <v>490</v>
      </c>
      <c r="F6" s="13" t="s">
        <v>491</v>
      </c>
      <c r="G6" s="13" t="s">
        <v>492</v>
      </c>
      <c r="H6" s="13"/>
      <c r="I6" s="13"/>
      <c r="J6" s="13"/>
      <c r="K6" s="13"/>
      <c r="L6" s="13"/>
    </row>
    <row r="7" spans="1:13" s="20" customFormat="1" x14ac:dyDescent="0.4">
      <c r="A7" s="13" t="s">
        <v>499</v>
      </c>
      <c r="B7" s="13" t="s">
        <v>1685</v>
      </c>
      <c r="C7" s="13" t="s">
        <v>16</v>
      </c>
      <c r="D7" s="13" t="s">
        <v>500</v>
      </c>
      <c r="E7" s="13" t="s">
        <v>501</v>
      </c>
      <c r="F7" s="13" t="s">
        <v>502</v>
      </c>
      <c r="G7" s="13" t="s">
        <v>503</v>
      </c>
      <c r="H7" s="13"/>
      <c r="I7" s="13"/>
      <c r="J7" s="13"/>
      <c r="K7" s="13"/>
      <c r="L7" s="13"/>
    </row>
    <row r="8" spans="1:13" s="20" customFormat="1" x14ac:dyDescent="0.4">
      <c r="A8" s="13" t="s">
        <v>804</v>
      </c>
      <c r="B8" s="13" t="s">
        <v>1670</v>
      </c>
      <c r="C8" s="13" t="s">
        <v>98</v>
      </c>
      <c r="D8" s="13" t="s">
        <v>299</v>
      </c>
      <c r="E8" s="13" t="s">
        <v>300</v>
      </c>
      <c r="F8" s="13" t="s">
        <v>301</v>
      </c>
      <c r="G8" s="13" t="s">
        <v>805</v>
      </c>
      <c r="H8" s="13"/>
      <c r="I8" s="13"/>
      <c r="J8" s="13"/>
      <c r="K8" s="13"/>
      <c r="L8" s="13"/>
    </row>
    <row r="9" spans="1:13" s="20" customFormat="1" x14ac:dyDescent="0.4">
      <c r="A9" s="13" t="s">
        <v>883</v>
      </c>
      <c r="B9" s="13" t="s">
        <v>1665</v>
      </c>
      <c r="C9" s="13" t="s">
        <v>96</v>
      </c>
      <c r="D9" s="13" t="s">
        <v>884</v>
      </c>
      <c r="E9" s="13" t="s">
        <v>885</v>
      </c>
      <c r="F9" s="13" t="s">
        <v>886</v>
      </c>
      <c r="G9" s="13" t="s">
        <v>887</v>
      </c>
      <c r="H9" s="13"/>
      <c r="I9" s="13"/>
      <c r="J9" s="13"/>
      <c r="K9" s="13"/>
      <c r="L9" s="13"/>
    </row>
    <row r="10" spans="1:13" s="20" customFormat="1" x14ac:dyDescent="0.4">
      <c r="A10" s="13" t="s">
        <v>1195</v>
      </c>
      <c r="B10" s="13" t="s">
        <v>1805</v>
      </c>
      <c r="C10" s="13" t="s">
        <v>22</v>
      </c>
      <c r="D10" s="13" t="s">
        <v>289</v>
      </c>
      <c r="E10" s="13" t="s">
        <v>290</v>
      </c>
      <c r="F10" s="13" t="s">
        <v>291</v>
      </c>
      <c r="G10" s="13" t="s">
        <v>1196</v>
      </c>
      <c r="H10" s="13"/>
      <c r="I10" s="13"/>
      <c r="J10" s="13"/>
      <c r="K10" s="13"/>
      <c r="L10" s="13"/>
    </row>
    <row r="11" spans="1:13" s="20" customFormat="1" x14ac:dyDescent="0.4">
      <c r="A11" s="13" t="s">
        <v>1207</v>
      </c>
      <c r="B11" s="13" t="s">
        <v>1533</v>
      </c>
      <c r="C11" s="13" t="s">
        <v>20</v>
      </c>
      <c r="D11" s="13" t="s">
        <v>1208</v>
      </c>
      <c r="E11" s="13" t="s">
        <v>1209</v>
      </c>
      <c r="F11" s="13" t="s">
        <v>1210</v>
      </c>
      <c r="G11" s="13" t="s">
        <v>1211</v>
      </c>
      <c r="H11" s="13"/>
      <c r="I11" s="13"/>
      <c r="J11" s="13"/>
      <c r="K11" s="13"/>
      <c r="L11" s="13"/>
    </row>
    <row r="12" spans="1:13" s="20" customFormat="1" x14ac:dyDescent="0.4">
      <c r="A12" s="13" t="s">
        <v>1322</v>
      </c>
      <c r="B12" s="22" t="s">
        <v>1554</v>
      </c>
      <c r="C12" s="13" t="s">
        <v>21</v>
      </c>
      <c r="D12" s="13" t="s">
        <v>1323</v>
      </c>
      <c r="E12" s="13" t="s">
        <v>1324</v>
      </c>
      <c r="F12" s="13" t="s">
        <v>1325</v>
      </c>
      <c r="G12" s="13" t="s">
        <v>1326</v>
      </c>
      <c r="H12" s="13"/>
      <c r="I12" s="13"/>
      <c r="J12" s="13"/>
      <c r="K12" s="13"/>
      <c r="L12" s="13"/>
    </row>
    <row r="13" spans="1:13" s="20" customFormat="1" x14ac:dyDescent="0.4">
      <c r="A13" s="13" t="s">
        <v>1416</v>
      </c>
      <c r="B13" s="13" t="s">
        <v>1463</v>
      </c>
      <c r="C13" s="13" t="s">
        <v>97</v>
      </c>
      <c r="D13" s="13" t="s">
        <v>1417</v>
      </c>
      <c r="E13" s="13" t="s">
        <v>1418</v>
      </c>
      <c r="F13" s="13" t="s">
        <v>1419</v>
      </c>
      <c r="G13" s="13" t="s">
        <v>1420</v>
      </c>
      <c r="H13" s="13"/>
      <c r="I13" s="13"/>
      <c r="J13" s="13"/>
      <c r="K13" s="13"/>
      <c r="L13" s="13"/>
    </row>
    <row r="14" spans="1:13" x14ac:dyDescent="0.4">
      <c r="A14"/>
      <c r="B14"/>
      <c r="C14"/>
      <c r="D14"/>
      <c r="E14"/>
      <c r="F14"/>
      <c r="G14"/>
      <c r="H14"/>
    </row>
    <row r="15" spans="1:13" x14ac:dyDescent="0.4">
      <c r="A15"/>
      <c r="B15"/>
      <c r="C15"/>
      <c r="D15"/>
      <c r="E15"/>
      <c r="F15"/>
      <c r="G15"/>
      <c r="H15"/>
    </row>
    <row r="16" spans="1:13" x14ac:dyDescent="0.4">
      <c r="A16"/>
      <c r="B16"/>
      <c r="C16"/>
      <c r="D16"/>
      <c r="E16"/>
      <c r="F16"/>
      <c r="G16"/>
      <c r="H16"/>
    </row>
    <row r="17" spans="1:8" x14ac:dyDescent="0.4">
      <c r="A17"/>
      <c r="B17"/>
      <c r="C17"/>
      <c r="D17"/>
      <c r="E17"/>
      <c r="F17"/>
      <c r="G17"/>
      <c r="H17"/>
    </row>
    <row r="18" spans="1:8" x14ac:dyDescent="0.4">
      <c r="A18"/>
      <c r="B18"/>
      <c r="C18"/>
      <c r="D18"/>
      <c r="E18"/>
      <c r="F18"/>
      <c r="G18"/>
      <c r="H18"/>
    </row>
    <row r="19" spans="1:8" x14ac:dyDescent="0.4">
      <c r="A19"/>
      <c r="B19"/>
      <c r="C19"/>
      <c r="D19"/>
      <c r="E19"/>
      <c r="F19"/>
      <c r="G19"/>
      <c r="H19"/>
    </row>
    <row r="20" spans="1:8" x14ac:dyDescent="0.4">
      <c r="A20"/>
      <c r="B20"/>
      <c r="C20"/>
      <c r="D20"/>
      <c r="E20"/>
      <c r="F20"/>
      <c r="G20"/>
      <c r="H20"/>
    </row>
  </sheetData>
  <autoFilter ref="A3:G13" xr:uid="{9EE7E04F-1C79-4F79-AA55-235D0C4563EF}"/>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FDC2-EE96-4DDC-A267-381562851E85}">
  <sheetPr codeName="Sheet9">
    <tabColor rgb="FFFF0000"/>
  </sheetPr>
  <dimension ref="A1:M127"/>
  <sheetViews>
    <sheetView workbookViewId="0">
      <selection activeCell="I15" sqref="I15"/>
    </sheetView>
  </sheetViews>
  <sheetFormatPr defaultRowHeight="18.75" x14ac:dyDescent="0.4"/>
  <cols>
    <col min="1" max="2" width="9.25" style="1" bestFit="1" customWidth="1"/>
    <col min="3" max="3" width="25.125" style="1" bestFit="1" customWidth="1"/>
    <col min="4" max="5" width="7.375" style="1" bestFit="1" customWidth="1"/>
    <col min="6" max="6" width="9.375" style="1" bestFit="1" customWidth="1"/>
    <col min="7" max="7" width="10.75" style="1" bestFit="1" customWidth="1"/>
    <col min="8" max="16384" width="9" style="1"/>
  </cols>
  <sheetData>
    <row r="1" spans="1:13" ht="19.5" thickBot="1" x14ac:dyDescent="0.45">
      <c r="A1" s="3">
        <f>COUNTA(A4:A300)</f>
        <v>124</v>
      </c>
    </row>
    <row r="3" spans="1:13" s="9" customFormat="1" ht="18" x14ac:dyDescent="0.4">
      <c r="A3" s="7" t="s">
        <v>0</v>
      </c>
      <c r="B3" s="8" t="s">
        <v>13</v>
      </c>
      <c r="C3" s="7" t="s">
        <v>1</v>
      </c>
      <c r="D3" s="7" t="s">
        <v>2</v>
      </c>
      <c r="E3" s="7" t="s">
        <v>3</v>
      </c>
      <c r="F3" s="7" t="s">
        <v>4</v>
      </c>
      <c r="G3" s="7" t="s">
        <v>5</v>
      </c>
      <c r="H3" s="23" t="s">
        <v>2213</v>
      </c>
      <c r="I3" s="23" t="s">
        <v>2214</v>
      </c>
      <c r="J3" s="23" t="s">
        <v>2215</v>
      </c>
      <c r="K3" s="23" t="s">
        <v>2216</v>
      </c>
      <c r="L3" s="23" t="s">
        <v>2217</v>
      </c>
      <c r="M3" s="23" t="s">
        <v>2218</v>
      </c>
    </row>
    <row r="4" spans="1:13" x14ac:dyDescent="0.4">
      <c r="A4" t="s">
        <v>139</v>
      </c>
      <c r="B4" t="s">
        <v>1465</v>
      </c>
      <c r="C4" t="s">
        <v>140</v>
      </c>
      <c r="D4" t="s">
        <v>141</v>
      </c>
      <c r="E4" t="s">
        <v>142</v>
      </c>
      <c r="F4" t="s">
        <v>143</v>
      </c>
      <c r="G4" t="s">
        <v>144</v>
      </c>
      <c r="H4"/>
      <c r="I4"/>
    </row>
    <row r="5" spans="1:13" x14ac:dyDescent="0.4">
      <c r="A5" t="s">
        <v>151</v>
      </c>
      <c r="B5" t="s">
        <v>1807</v>
      </c>
      <c r="C5" t="s">
        <v>152</v>
      </c>
      <c r="D5" t="s">
        <v>153</v>
      </c>
      <c r="E5" t="s">
        <v>154</v>
      </c>
      <c r="F5" t="s">
        <v>155</v>
      </c>
      <c r="G5" t="s">
        <v>156</v>
      </c>
      <c r="H5"/>
      <c r="I5"/>
    </row>
    <row r="6" spans="1:13" x14ac:dyDescent="0.4">
      <c r="A6" t="s">
        <v>159</v>
      </c>
      <c r="B6" t="s">
        <v>1466</v>
      </c>
      <c r="C6" t="s">
        <v>160</v>
      </c>
      <c r="D6" t="s">
        <v>161</v>
      </c>
      <c r="E6" t="s">
        <v>162</v>
      </c>
      <c r="F6" t="s">
        <v>163</v>
      </c>
      <c r="G6" t="s">
        <v>164</v>
      </c>
      <c r="H6"/>
      <c r="I6"/>
    </row>
    <row r="7" spans="1:13" x14ac:dyDescent="0.4">
      <c r="A7" t="s">
        <v>180</v>
      </c>
      <c r="B7" t="s">
        <v>1804</v>
      </c>
      <c r="C7" t="s">
        <v>181</v>
      </c>
      <c r="D7" t="s">
        <v>182</v>
      </c>
      <c r="E7" t="s">
        <v>183</v>
      </c>
      <c r="F7" t="s">
        <v>184</v>
      </c>
      <c r="G7" t="s">
        <v>185</v>
      </c>
      <c r="H7"/>
      <c r="I7"/>
    </row>
    <row r="8" spans="1:13" x14ac:dyDescent="0.4">
      <c r="A8" t="s">
        <v>202</v>
      </c>
      <c r="B8" t="s">
        <v>1468</v>
      </c>
      <c r="C8" t="s">
        <v>203</v>
      </c>
      <c r="D8" t="s">
        <v>204</v>
      </c>
      <c r="E8" t="s">
        <v>205</v>
      </c>
      <c r="F8" t="s">
        <v>206</v>
      </c>
      <c r="G8" t="s">
        <v>207</v>
      </c>
      <c r="H8"/>
      <c r="I8"/>
    </row>
    <row r="9" spans="1:13" x14ac:dyDescent="0.4">
      <c r="A9" t="s">
        <v>215</v>
      </c>
      <c r="B9" t="s">
        <v>1469</v>
      </c>
      <c r="C9" t="s">
        <v>216</v>
      </c>
      <c r="D9" t="s">
        <v>217</v>
      </c>
      <c r="E9" t="s">
        <v>218</v>
      </c>
      <c r="F9" t="s">
        <v>219</v>
      </c>
      <c r="G9" t="s">
        <v>220</v>
      </c>
      <c r="H9"/>
      <c r="I9"/>
    </row>
    <row r="10" spans="1:13" x14ac:dyDescent="0.4">
      <c r="A10" t="s">
        <v>221</v>
      </c>
      <c r="B10" t="s">
        <v>1470</v>
      </c>
      <c r="C10" t="s">
        <v>222</v>
      </c>
      <c r="D10" t="s">
        <v>223</v>
      </c>
      <c r="E10" t="s">
        <v>224</v>
      </c>
      <c r="F10" t="s">
        <v>225</v>
      </c>
      <c r="G10" t="s">
        <v>226</v>
      </c>
      <c r="H10"/>
      <c r="I10"/>
    </row>
    <row r="11" spans="1:13" x14ac:dyDescent="0.4">
      <c r="A11" t="s">
        <v>233</v>
      </c>
      <c r="B11" t="s">
        <v>1472</v>
      </c>
      <c r="C11" t="s">
        <v>234</v>
      </c>
      <c r="D11" t="s">
        <v>235</v>
      </c>
      <c r="E11" t="s">
        <v>236</v>
      </c>
      <c r="F11" t="s">
        <v>237</v>
      </c>
      <c r="G11" t="s">
        <v>238</v>
      </c>
      <c r="H11"/>
      <c r="I11"/>
    </row>
    <row r="12" spans="1:13" x14ac:dyDescent="0.4">
      <c r="A12" t="s">
        <v>240</v>
      </c>
      <c r="B12" t="s">
        <v>1676</v>
      </c>
      <c r="C12" t="s">
        <v>241</v>
      </c>
      <c r="D12" t="s">
        <v>242</v>
      </c>
      <c r="E12" t="s">
        <v>243</v>
      </c>
      <c r="F12" t="s">
        <v>244</v>
      </c>
      <c r="G12" t="s">
        <v>245</v>
      </c>
      <c r="H12"/>
      <c r="I12"/>
    </row>
    <row r="13" spans="1:13" x14ac:dyDescent="0.4">
      <c r="A13" t="s">
        <v>264</v>
      </c>
      <c r="B13" t="s">
        <v>1738</v>
      </c>
      <c r="C13" t="s">
        <v>265</v>
      </c>
      <c r="D13" t="s">
        <v>266</v>
      </c>
      <c r="E13" t="s">
        <v>267</v>
      </c>
      <c r="F13" t="s">
        <v>268</v>
      </c>
      <c r="G13" t="s">
        <v>269</v>
      </c>
      <c r="H13"/>
      <c r="I13"/>
    </row>
    <row r="14" spans="1:13" x14ac:dyDescent="0.4">
      <c r="A14" t="s">
        <v>276</v>
      </c>
      <c r="B14" t="s">
        <v>1741</v>
      </c>
      <c r="C14" t="s">
        <v>277</v>
      </c>
      <c r="D14" t="s">
        <v>278</v>
      </c>
      <c r="E14" t="s">
        <v>279</v>
      </c>
      <c r="F14" t="s">
        <v>280</v>
      </c>
      <c r="G14" t="s">
        <v>281</v>
      </c>
      <c r="H14"/>
      <c r="I14"/>
    </row>
    <row r="15" spans="1:13" x14ac:dyDescent="0.4">
      <c r="A15" t="s">
        <v>303</v>
      </c>
      <c r="B15" t="s">
        <v>1473</v>
      </c>
      <c r="C15" t="s">
        <v>304</v>
      </c>
      <c r="D15" t="s">
        <v>305</v>
      </c>
      <c r="E15" t="s">
        <v>306</v>
      </c>
      <c r="F15" t="s">
        <v>307</v>
      </c>
      <c r="G15" t="s">
        <v>308</v>
      </c>
      <c r="H15"/>
      <c r="I15"/>
    </row>
    <row r="16" spans="1:13" x14ac:dyDescent="0.4">
      <c r="A16" t="s">
        <v>325</v>
      </c>
      <c r="B16" t="s">
        <v>1475</v>
      </c>
      <c r="C16" t="s">
        <v>304</v>
      </c>
      <c r="D16" t="s">
        <v>305</v>
      </c>
      <c r="E16" t="s">
        <v>306</v>
      </c>
      <c r="F16" t="s">
        <v>307</v>
      </c>
      <c r="G16" t="s">
        <v>326</v>
      </c>
      <c r="H16"/>
      <c r="I16"/>
    </row>
    <row r="17" spans="1:9" x14ac:dyDescent="0.4">
      <c r="A17" t="s">
        <v>327</v>
      </c>
      <c r="B17" t="s">
        <v>1476</v>
      </c>
      <c r="C17" t="s">
        <v>328</v>
      </c>
      <c r="D17" t="s">
        <v>329</v>
      </c>
      <c r="E17" t="s">
        <v>330</v>
      </c>
      <c r="F17" t="s">
        <v>331</v>
      </c>
      <c r="G17" t="s">
        <v>332</v>
      </c>
      <c r="H17"/>
      <c r="I17"/>
    </row>
    <row r="18" spans="1:9" x14ac:dyDescent="0.4">
      <c r="A18" t="s">
        <v>372</v>
      </c>
      <c r="B18" t="s">
        <v>1480</v>
      </c>
      <c r="C18" t="s">
        <v>373</v>
      </c>
      <c r="D18" t="s">
        <v>374</v>
      </c>
      <c r="E18" t="s">
        <v>375</v>
      </c>
      <c r="F18" t="s">
        <v>206</v>
      </c>
      <c r="G18" t="s">
        <v>376</v>
      </c>
      <c r="H18"/>
      <c r="I18"/>
    </row>
    <row r="19" spans="1:9" x14ac:dyDescent="0.4">
      <c r="A19" t="s">
        <v>383</v>
      </c>
      <c r="B19" t="s">
        <v>1457</v>
      </c>
      <c r="C19" t="s">
        <v>384</v>
      </c>
      <c r="D19" t="s">
        <v>385</v>
      </c>
      <c r="E19" t="s">
        <v>386</v>
      </c>
      <c r="F19" t="s">
        <v>387</v>
      </c>
      <c r="G19" t="s">
        <v>388</v>
      </c>
      <c r="H19"/>
      <c r="I19"/>
    </row>
    <row r="20" spans="1:9" x14ac:dyDescent="0.4">
      <c r="A20" t="s">
        <v>392</v>
      </c>
      <c r="B20" t="s">
        <v>1482</v>
      </c>
      <c r="C20" t="s">
        <v>393</v>
      </c>
      <c r="D20" t="s">
        <v>394</v>
      </c>
      <c r="E20" t="s">
        <v>395</v>
      </c>
      <c r="F20" t="s">
        <v>396</v>
      </c>
      <c r="G20" t="s">
        <v>397</v>
      </c>
      <c r="H20"/>
      <c r="I20"/>
    </row>
    <row r="21" spans="1:9" x14ac:dyDescent="0.4">
      <c r="A21" t="s">
        <v>416</v>
      </c>
      <c r="B21" t="s">
        <v>421</v>
      </c>
      <c r="C21" t="s">
        <v>417</v>
      </c>
      <c r="D21" t="s">
        <v>418</v>
      </c>
      <c r="E21" t="s">
        <v>419</v>
      </c>
      <c r="F21" t="s">
        <v>420</v>
      </c>
      <c r="G21" t="s">
        <v>421</v>
      </c>
      <c r="H21"/>
      <c r="I21"/>
    </row>
    <row r="22" spans="1:9" x14ac:dyDescent="0.4">
      <c r="A22" t="s">
        <v>444</v>
      </c>
      <c r="B22" t="s">
        <v>449</v>
      </c>
      <c r="C22" t="s">
        <v>445</v>
      </c>
      <c r="D22" t="s">
        <v>446</v>
      </c>
      <c r="E22" t="s">
        <v>447</v>
      </c>
      <c r="F22" t="s">
        <v>448</v>
      </c>
      <c r="G22" t="s">
        <v>449</v>
      </c>
      <c r="H22"/>
      <c r="I22"/>
    </row>
    <row r="23" spans="1:9" x14ac:dyDescent="0.4">
      <c r="A23" t="s">
        <v>450</v>
      </c>
      <c r="B23" t="s">
        <v>455</v>
      </c>
      <c r="C23" t="s">
        <v>451</v>
      </c>
      <c r="D23" t="s">
        <v>452</v>
      </c>
      <c r="E23" t="s">
        <v>453</v>
      </c>
      <c r="F23" t="s">
        <v>454</v>
      </c>
      <c r="G23" t="s">
        <v>455</v>
      </c>
      <c r="H23"/>
      <c r="I23"/>
    </row>
    <row r="24" spans="1:9" x14ac:dyDescent="0.4">
      <c r="A24" t="s">
        <v>456</v>
      </c>
      <c r="B24" t="s">
        <v>1678</v>
      </c>
      <c r="C24" t="s">
        <v>457</v>
      </c>
      <c r="D24" t="s">
        <v>458</v>
      </c>
      <c r="E24" t="s">
        <v>459</v>
      </c>
      <c r="F24" t="s">
        <v>460</v>
      </c>
      <c r="G24" t="s">
        <v>461</v>
      </c>
      <c r="H24"/>
      <c r="I24"/>
    </row>
    <row r="25" spans="1:9" x14ac:dyDescent="0.4">
      <c r="A25" t="s">
        <v>462</v>
      </c>
      <c r="B25" t="s">
        <v>1679</v>
      </c>
      <c r="C25" t="s">
        <v>463</v>
      </c>
      <c r="D25" t="s">
        <v>464</v>
      </c>
      <c r="E25" t="s">
        <v>465</v>
      </c>
      <c r="F25" t="s">
        <v>466</v>
      </c>
      <c r="G25" t="s">
        <v>467</v>
      </c>
      <c r="H25"/>
      <c r="I25"/>
    </row>
    <row r="26" spans="1:9" x14ac:dyDescent="0.4">
      <c r="A26" t="s">
        <v>468</v>
      </c>
      <c r="B26" t="s">
        <v>1680</v>
      </c>
      <c r="C26" t="s">
        <v>469</v>
      </c>
      <c r="D26" t="s">
        <v>470</v>
      </c>
      <c r="E26" t="s">
        <v>471</v>
      </c>
      <c r="F26" t="s">
        <v>466</v>
      </c>
      <c r="G26" t="s">
        <v>472</v>
      </c>
      <c r="H26"/>
      <c r="I26"/>
    </row>
    <row r="27" spans="1:9" x14ac:dyDescent="0.4">
      <c r="A27" t="s">
        <v>473</v>
      </c>
      <c r="B27" t="s">
        <v>1808</v>
      </c>
      <c r="C27" t="s">
        <v>474</v>
      </c>
      <c r="D27" t="s">
        <v>475</v>
      </c>
      <c r="E27" t="s">
        <v>476</v>
      </c>
      <c r="F27" t="s">
        <v>477</v>
      </c>
      <c r="G27" t="s">
        <v>478</v>
      </c>
      <c r="H27"/>
      <c r="I27"/>
    </row>
    <row r="28" spans="1:9" x14ac:dyDescent="0.4">
      <c r="A28" t="s">
        <v>484</v>
      </c>
      <c r="B28" t="s">
        <v>1682</v>
      </c>
      <c r="C28" t="s">
        <v>140</v>
      </c>
      <c r="D28" t="s">
        <v>141</v>
      </c>
      <c r="E28" t="s">
        <v>142</v>
      </c>
      <c r="F28" t="s">
        <v>143</v>
      </c>
      <c r="G28" t="s">
        <v>485</v>
      </c>
      <c r="H28"/>
      <c r="I28"/>
    </row>
    <row r="29" spans="1:9" x14ac:dyDescent="0.4">
      <c r="A29" t="s">
        <v>493</v>
      </c>
      <c r="B29" t="s">
        <v>1809</v>
      </c>
      <c r="C29" t="s">
        <v>494</v>
      </c>
      <c r="D29" t="s">
        <v>495</v>
      </c>
      <c r="E29" t="s">
        <v>496</v>
      </c>
      <c r="F29" t="s">
        <v>497</v>
      </c>
      <c r="G29" t="s">
        <v>498</v>
      </c>
      <c r="H29"/>
      <c r="I29"/>
    </row>
    <row r="30" spans="1:9" x14ac:dyDescent="0.4">
      <c r="A30" t="s">
        <v>523</v>
      </c>
      <c r="B30" t="s">
        <v>1692</v>
      </c>
      <c r="C30" t="s">
        <v>524</v>
      </c>
      <c r="D30" t="s">
        <v>525</v>
      </c>
      <c r="E30" t="s">
        <v>526</v>
      </c>
      <c r="F30" t="s">
        <v>527</v>
      </c>
      <c r="G30" t="s">
        <v>528</v>
      </c>
      <c r="H30"/>
      <c r="I30"/>
    </row>
    <row r="31" spans="1:9" x14ac:dyDescent="0.4">
      <c r="A31" t="s">
        <v>534</v>
      </c>
      <c r="B31" t="s">
        <v>1694</v>
      </c>
      <c r="C31" t="s">
        <v>535</v>
      </c>
      <c r="D31" t="s">
        <v>536</v>
      </c>
      <c r="E31" t="s">
        <v>537</v>
      </c>
      <c r="F31" t="s">
        <v>538</v>
      </c>
      <c r="G31" t="s">
        <v>539</v>
      </c>
      <c r="H31"/>
      <c r="I31"/>
    </row>
    <row r="32" spans="1:9" x14ac:dyDescent="0.4">
      <c r="A32" t="s">
        <v>540</v>
      </c>
      <c r="B32" t="s">
        <v>1695</v>
      </c>
      <c r="C32" t="s">
        <v>541</v>
      </c>
      <c r="D32" t="s">
        <v>542</v>
      </c>
      <c r="E32" t="s">
        <v>543</v>
      </c>
      <c r="F32" t="s">
        <v>466</v>
      </c>
      <c r="G32" t="s">
        <v>544</v>
      </c>
      <c r="H32"/>
      <c r="I32"/>
    </row>
    <row r="33" spans="1:9" x14ac:dyDescent="0.4">
      <c r="A33" t="s">
        <v>547</v>
      </c>
      <c r="B33" t="s">
        <v>1697</v>
      </c>
      <c r="C33" t="s">
        <v>548</v>
      </c>
      <c r="D33" t="s">
        <v>549</v>
      </c>
      <c r="E33" t="s">
        <v>550</v>
      </c>
      <c r="F33" t="s">
        <v>551</v>
      </c>
      <c r="G33" t="s">
        <v>552</v>
      </c>
      <c r="H33"/>
      <c r="I33"/>
    </row>
    <row r="34" spans="1:9" x14ac:dyDescent="0.4">
      <c r="A34" t="s">
        <v>553</v>
      </c>
      <c r="B34" t="s">
        <v>1698</v>
      </c>
      <c r="C34" t="s">
        <v>554</v>
      </c>
      <c r="D34" t="s">
        <v>555</v>
      </c>
      <c r="E34" t="s">
        <v>556</v>
      </c>
      <c r="F34" t="s">
        <v>557</v>
      </c>
      <c r="G34" t="s">
        <v>558</v>
      </c>
      <c r="H34"/>
      <c r="I34"/>
    </row>
    <row r="35" spans="1:9" x14ac:dyDescent="0.4">
      <c r="A35" t="s">
        <v>562</v>
      </c>
      <c r="B35" t="s">
        <v>1700</v>
      </c>
      <c r="C35" t="s">
        <v>563</v>
      </c>
      <c r="D35" t="s">
        <v>564</v>
      </c>
      <c r="E35" t="s">
        <v>565</v>
      </c>
      <c r="F35" t="s">
        <v>566</v>
      </c>
      <c r="G35" t="s">
        <v>567</v>
      </c>
      <c r="H35"/>
      <c r="I35"/>
    </row>
    <row r="36" spans="1:9" x14ac:dyDescent="0.4">
      <c r="A36" t="s">
        <v>578</v>
      </c>
      <c r="B36" t="s">
        <v>1704</v>
      </c>
      <c r="C36" t="s">
        <v>579</v>
      </c>
      <c r="D36" t="s">
        <v>580</v>
      </c>
      <c r="E36" t="s">
        <v>581</v>
      </c>
      <c r="F36" t="s">
        <v>582</v>
      </c>
      <c r="G36" t="s">
        <v>583</v>
      </c>
      <c r="H36"/>
      <c r="I36"/>
    </row>
    <row r="37" spans="1:9" x14ac:dyDescent="0.4">
      <c r="A37" t="s">
        <v>584</v>
      </c>
      <c r="B37" t="s">
        <v>1705</v>
      </c>
      <c r="C37" t="s">
        <v>585</v>
      </c>
      <c r="D37" t="s">
        <v>586</v>
      </c>
      <c r="E37" t="s">
        <v>587</v>
      </c>
      <c r="F37" t="s">
        <v>454</v>
      </c>
      <c r="G37" t="s">
        <v>588</v>
      </c>
      <c r="H37"/>
      <c r="I37"/>
    </row>
    <row r="38" spans="1:9" x14ac:dyDescent="0.4">
      <c r="A38" t="s">
        <v>608</v>
      </c>
      <c r="B38" t="s">
        <v>1711</v>
      </c>
      <c r="C38" t="s">
        <v>609</v>
      </c>
      <c r="D38" t="s">
        <v>610</v>
      </c>
      <c r="E38" t="s">
        <v>611</v>
      </c>
      <c r="F38" t="s">
        <v>612</v>
      </c>
      <c r="G38" t="s">
        <v>613</v>
      </c>
      <c r="H38"/>
      <c r="I38"/>
    </row>
    <row r="39" spans="1:9" x14ac:dyDescent="0.4">
      <c r="A39" t="s">
        <v>615</v>
      </c>
      <c r="B39" t="s">
        <v>1712</v>
      </c>
      <c r="C39" t="s">
        <v>384</v>
      </c>
      <c r="D39" t="s">
        <v>385</v>
      </c>
      <c r="E39" t="s">
        <v>386</v>
      </c>
      <c r="F39" t="s">
        <v>387</v>
      </c>
      <c r="G39" t="s">
        <v>616</v>
      </c>
      <c r="H39"/>
      <c r="I39"/>
    </row>
    <row r="40" spans="1:9" x14ac:dyDescent="0.4">
      <c r="A40" t="s">
        <v>623</v>
      </c>
      <c r="B40" t="s">
        <v>1716</v>
      </c>
      <c r="C40" t="s">
        <v>624</v>
      </c>
      <c r="D40" t="s">
        <v>625</v>
      </c>
      <c r="E40" t="s">
        <v>626</v>
      </c>
      <c r="F40" t="s">
        <v>627</v>
      </c>
      <c r="G40" t="s">
        <v>628</v>
      </c>
      <c r="H40"/>
      <c r="I40"/>
    </row>
    <row r="41" spans="1:9" x14ac:dyDescent="0.4">
      <c r="A41" t="s">
        <v>640</v>
      </c>
      <c r="B41" t="s">
        <v>1720</v>
      </c>
      <c r="C41" t="s">
        <v>641</v>
      </c>
      <c r="D41" t="s">
        <v>642</v>
      </c>
      <c r="E41" t="s">
        <v>643</v>
      </c>
      <c r="F41" t="s">
        <v>237</v>
      </c>
      <c r="G41" t="s">
        <v>644</v>
      </c>
      <c r="H41"/>
      <c r="I41"/>
    </row>
    <row r="42" spans="1:9" x14ac:dyDescent="0.4">
      <c r="A42" t="s">
        <v>665</v>
      </c>
      <c r="B42" t="s">
        <v>1727</v>
      </c>
      <c r="C42" t="s">
        <v>234</v>
      </c>
      <c r="D42" t="s">
        <v>235</v>
      </c>
      <c r="E42" t="s">
        <v>236</v>
      </c>
      <c r="F42" t="s">
        <v>237</v>
      </c>
      <c r="G42" t="s">
        <v>666</v>
      </c>
      <c r="H42"/>
      <c r="I42"/>
    </row>
    <row r="43" spans="1:9" x14ac:dyDescent="0.4">
      <c r="A43" t="s">
        <v>667</v>
      </c>
      <c r="B43" t="s">
        <v>1728</v>
      </c>
      <c r="C43" t="s">
        <v>668</v>
      </c>
      <c r="D43" t="s">
        <v>669</v>
      </c>
      <c r="E43" t="s">
        <v>670</v>
      </c>
      <c r="F43" t="s">
        <v>671</v>
      </c>
      <c r="G43" t="s">
        <v>672</v>
      </c>
      <c r="H43"/>
      <c r="I43"/>
    </row>
    <row r="44" spans="1:9" x14ac:dyDescent="0.4">
      <c r="A44" t="s">
        <v>710</v>
      </c>
      <c r="B44" t="s">
        <v>1744</v>
      </c>
      <c r="C44" t="s">
        <v>140</v>
      </c>
      <c r="D44" t="s">
        <v>141</v>
      </c>
      <c r="E44" t="s">
        <v>142</v>
      </c>
      <c r="F44" t="s">
        <v>143</v>
      </c>
      <c r="G44" t="s">
        <v>711</v>
      </c>
      <c r="H44"/>
      <c r="I44"/>
    </row>
    <row r="45" spans="1:9" x14ac:dyDescent="0.4">
      <c r="A45" t="s">
        <v>722</v>
      </c>
      <c r="B45" t="s">
        <v>1747</v>
      </c>
      <c r="C45" t="s">
        <v>140</v>
      </c>
      <c r="D45" t="s">
        <v>141</v>
      </c>
      <c r="E45" t="s">
        <v>142</v>
      </c>
      <c r="F45" t="s">
        <v>143</v>
      </c>
      <c r="G45" t="s">
        <v>723</v>
      </c>
      <c r="H45"/>
      <c r="I45"/>
    </row>
    <row r="46" spans="1:9" x14ac:dyDescent="0.4">
      <c r="A46" t="s">
        <v>724</v>
      </c>
      <c r="B46" t="s">
        <v>1747</v>
      </c>
      <c r="C46" t="s">
        <v>140</v>
      </c>
      <c r="D46" t="s">
        <v>141</v>
      </c>
      <c r="E46" t="s">
        <v>142</v>
      </c>
      <c r="F46" t="s">
        <v>143</v>
      </c>
      <c r="G46" t="s">
        <v>723</v>
      </c>
      <c r="H46"/>
      <c r="I46"/>
    </row>
    <row r="47" spans="1:9" x14ac:dyDescent="0.4">
      <c r="A47" t="s">
        <v>727</v>
      </c>
      <c r="B47" t="s">
        <v>1749</v>
      </c>
      <c r="C47" t="s">
        <v>728</v>
      </c>
      <c r="D47" t="s">
        <v>729</v>
      </c>
      <c r="E47" t="s">
        <v>730</v>
      </c>
      <c r="F47" t="s">
        <v>731</v>
      </c>
      <c r="G47" t="s">
        <v>732</v>
      </c>
      <c r="H47"/>
      <c r="I47"/>
    </row>
    <row r="48" spans="1:9" x14ac:dyDescent="0.4">
      <c r="A48" t="s">
        <v>733</v>
      </c>
      <c r="B48" t="s">
        <v>1750</v>
      </c>
      <c r="C48" t="s">
        <v>140</v>
      </c>
      <c r="D48" t="s">
        <v>141</v>
      </c>
      <c r="E48" t="s">
        <v>142</v>
      </c>
      <c r="F48" t="s">
        <v>143</v>
      </c>
      <c r="G48" t="s">
        <v>734</v>
      </c>
      <c r="H48"/>
      <c r="I48"/>
    </row>
    <row r="49" spans="1:9" x14ac:dyDescent="0.4">
      <c r="A49" t="s">
        <v>766</v>
      </c>
      <c r="B49" t="s">
        <v>1780</v>
      </c>
      <c r="C49" t="s">
        <v>457</v>
      </c>
      <c r="D49" t="s">
        <v>458</v>
      </c>
      <c r="E49" t="s">
        <v>459</v>
      </c>
      <c r="F49" t="s">
        <v>460</v>
      </c>
      <c r="G49" t="s">
        <v>767</v>
      </c>
      <c r="H49"/>
      <c r="I49"/>
    </row>
    <row r="50" spans="1:9" x14ac:dyDescent="0.4">
      <c r="A50" t="s">
        <v>768</v>
      </c>
      <c r="B50" t="s">
        <v>1781</v>
      </c>
      <c r="C50" t="s">
        <v>769</v>
      </c>
      <c r="D50" t="s">
        <v>770</v>
      </c>
      <c r="E50" t="s">
        <v>771</v>
      </c>
      <c r="F50" t="s">
        <v>772</v>
      </c>
      <c r="G50" t="s">
        <v>773</v>
      </c>
      <c r="H50"/>
      <c r="I50"/>
    </row>
    <row r="51" spans="1:9" x14ac:dyDescent="0.4">
      <c r="A51" t="s">
        <v>780</v>
      </c>
      <c r="B51" t="s">
        <v>1669</v>
      </c>
      <c r="C51" t="s">
        <v>781</v>
      </c>
      <c r="D51" t="s">
        <v>782</v>
      </c>
      <c r="E51" t="s">
        <v>783</v>
      </c>
      <c r="F51" t="s">
        <v>784</v>
      </c>
      <c r="G51" t="s">
        <v>785</v>
      </c>
      <c r="H51"/>
      <c r="I51" t="s">
        <v>786</v>
      </c>
    </row>
    <row r="52" spans="1:9" x14ac:dyDescent="0.4">
      <c r="A52" t="s">
        <v>796</v>
      </c>
      <c r="B52" t="s">
        <v>1758</v>
      </c>
      <c r="C52" t="s">
        <v>277</v>
      </c>
      <c r="D52" t="s">
        <v>278</v>
      </c>
      <c r="E52" t="s">
        <v>279</v>
      </c>
      <c r="F52" t="s">
        <v>280</v>
      </c>
      <c r="G52" t="s">
        <v>797</v>
      </c>
      <c r="H52"/>
      <c r="I52"/>
    </row>
    <row r="53" spans="1:9" x14ac:dyDescent="0.4">
      <c r="A53" t="s">
        <v>798</v>
      </c>
      <c r="B53" t="s">
        <v>1759</v>
      </c>
      <c r="C53" t="s">
        <v>277</v>
      </c>
      <c r="D53" t="s">
        <v>278</v>
      </c>
      <c r="E53" t="s">
        <v>279</v>
      </c>
      <c r="F53" t="s">
        <v>280</v>
      </c>
      <c r="G53" t="s">
        <v>799</v>
      </c>
      <c r="H53"/>
      <c r="I53"/>
    </row>
    <row r="54" spans="1:9" x14ac:dyDescent="0.4">
      <c r="A54" t="s">
        <v>812</v>
      </c>
      <c r="B54" t="s">
        <v>1762</v>
      </c>
      <c r="C54" t="s">
        <v>277</v>
      </c>
      <c r="D54" t="s">
        <v>278</v>
      </c>
      <c r="E54" t="s">
        <v>279</v>
      </c>
      <c r="F54" t="s">
        <v>280</v>
      </c>
      <c r="G54" t="s">
        <v>813</v>
      </c>
      <c r="H54"/>
      <c r="I54"/>
    </row>
    <row r="55" spans="1:9" x14ac:dyDescent="0.4">
      <c r="A55" t="s">
        <v>828</v>
      </c>
      <c r="B55" t="s">
        <v>1763</v>
      </c>
      <c r="C55" t="s">
        <v>277</v>
      </c>
      <c r="D55" t="s">
        <v>278</v>
      </c>
      <c r="E55" t="s">
        <v>279</v>
      </c>
      <c r="F55" t="s">
        <v>280</v>
      </c>
      <c r="G55" t="s">
        <v>829</v>
      </c>
      <c r="H55"/>
      <c r="I55"/>
    </row>
    <row r="56" spans="1:9" x14ac:dyDescent="0.4">
      <c r="A56" t="s">
        <v>836</v>
      </c>
      <c r="B56" t="s">
        <v>1806</v>
      </c>
      <c r="C56" t="s">
        <v>837</v>
      </c>
      <c r="D56" t="s">
        <v>838</v>
      </c>
      <c r="E56" t="s">
        <v>839</v>
      </c>
      <c r="F56" t="s">
        <v>840</v>
      </c>
      <c r="G56" t="s">
        <v>841</v>
      </c>
      <c r="H56"/>
      <c r="I56"/>
    </row>
    <row r="57" spans="1:9" x14ac:dyDescent="0.4">
      <c r="A57" t="s">
        <v>848</v>
      </c>
      <c r="B57" t="s">
        <v>1784</v>
      </c>
      <c r="C57" t="s">
        <v>160</v>
      </c>
      <c r="D57" t="s">
        <v>161</v>
      </c>
      <c r="E57" t="s">
        <v>162</v>
      </c>
      <c r="F57" t="s">
        <v>163</v>
      </c>
      <c r="G57" t="s">
        <v>849</v>
      </c>
      <c r="H57"/>
      <c r="I57"/>
    </row>
    <row r="58" spans="1:9" x14ac:dyDescent="0.4">
      <c r="A58" t="s">
        <v>859</v>
      </c>
      <c r="B58" t="s">
        <v>1787</v>
      </c>
      <c r="C58" t="s">
        <v>860</v>
      </c>
      <c r="D58" t="s">
        <v>861</v>
      </c>
      <c r="E58" t="s">
        <v>862</v>
      </c>
      <c r="F58" t="s">
        <v>466</v>
      </c>
      <c r="G58" t="s">
        <v>863</v>
      </c>
      <c r="H58"/>
      <c r="I58"/>
    </row>
    <row r="59" spans="1:9" x14ac:dyDescent="0.4">
      <c r="A59" t="s">
        <v>873</v>
      </c>
      <c r="B59" t="s">
        <v>1777</v>
      </c>
      <c r="C59" t="s">
        <v>874</v>
      </c>
      <c r="D59" t="s">
        <v>875</v>
      </c>
      <c r="E59" t="s">
        <v>876</v>
      </c>
      <c r="F59" t="s">
        <v>877</v>
      </c>
      <c r="G59" t="s">
        <v>878</v>
      </c>
      <c r="H59"/>
      <c r="I59"/>
    </row>
    <row r="60" spans="1:9" x14ac:dyDescent="0.4">
      <c r="A60" t="s">
        <v>895</v>
      </c>
      <c r="B60" t="s">
        <v>1485</v>
      </c>
      <c r="C60" t="s">
        <v>860</v>
      </c>
      <c r="D60" t="s">
        <v>861</v>
      </c>
      <c r="E60" t="s">
        <v>862</v>
      </c>
      <c r="F60" t="s">
        <v>466</v>
      </c>
      <c r="G60" t="s">
        <v>896</v>
      </c>
      <c r="H60"/>
      <c r="I60"/>
    </row>
    <row r="61" spans="1:9" x14ac:dyDescent="0.4">
      <c r="A61" t="s">
        <v>901</v>
      </c>
      <c r="B61" t="s">
        <v>1486</v>
      </c>
      <c r="C61" t="s">
        <v>902</v>
      </c>
      <c r="D61" t="s">
        <v>903</v>
      </c>
      <c r="E61" t="s">
        <v>904</v>
      </c>
      <c r="F61" t="s">
        <v>905</v>
      </c>
      <c r="G61" t="s">
        <v>906</v>
      </c>
      <c r="H61"/>
      <c r="I61"/>
    </row>
    <row r="62" spans="1:9" x14ac:dyDescent="0.4">
      <c r="A62" t="s">
        <v>907</v>
      </c>
      <c r="B62" t="s">
        <v>1487</v>
      </c>
      <c r="C62" t="s">
        <v>908</v>
      </c>
      <c r="D62" t="s">
        <v>909</v>
      </c>
      <c r="E62" t="s">
        <v>910</v>
      </c>
      <c r="F62" t="s">
        <v>911</v>
      </c>
      <c r="G62" t="s">
        <v>912</v>
      </c>
      <c r="H62"/>
      <c r="I62"/>
    </row>
    <row r="63" spans="1:9" x14ac:dyDescent="0.4">
      <c r="A63" t="s">
        <v>913</v>
      </c>
      <c r="B63" t="s">
        <v>1488</v>
      </c>
      <c r="C63" t="s">
        <v>914</v>
      </c>
      <c r="D63" t="s">
        <v>915</v>
      </c>
      <c r="E63" t="s">
        <v>916</v>
      </c>
      <c r="F63" t="s">
        <v>917</v>
      </c>
      <c r="G63" t="s">
        <v>918</v>
      </c>
      <c r="H63"/>
      <c r="I63"/>
    </row>
    <row r="64" spans="1:9" x14ac:dyDescent="0.4">
      <c r="A64" t="s">
        <v>925</v>
      </c>
      <c r="B64" t="s">
        <v>1489</v>
      </c>
      <c r="C64" t="s">
        <v>926</v>
      </c>
      <c r="D64" t="s">
        <v>927</v>
      </c>
      <c r="E64" t="s">
        <v>928</v>
      </c>
      <c r="F64" t="s">
        <v>929</v>
      </c>
      <c r="G64" t="s">
        <v>930</v>
      </c>
      <c r="H64"/>
      <c r="I64"/>
    </row>
    <row r="65" spans="1:9" x14ac:dyDescent="0.4">
      <c r="A65" t="s">
        <v>936</v>
      </c>
      <c r="B65" t="s">
        <v>1490</v>
      </c>
      <c r="C65" t="s">
        <v>216</v>
      </c>
      <c r="D65" t="s">
        <v>217</v>
      </c>
      <c r="E65" t="s">
        <v>218</v>
      </c>
      <c r="F65" t="s">
        <v>219</v>
      </c>
      <c r="G65" t="s">
        <v>937</v>
      </c>
      <c r="H65"/>
      <c r="I65"/>
    </row>
    <row r="66" spans="1:9" x14ac:dyDescent="0.4">
      <c r="A66" t="s">
        <v>942</v>
      </c>
      <c r="B66" t="s">
        <v>1492</v>
      </c>
      <c r="C66" t="s">
        <v>140</v>
      </c>
      <c r="D66" t="s">
        <v>141</v>
      </c>
      <c r="E66" t="s">
        <v>142</v>
      </c>
      <c r="F66" t="s">
        <v>143</v>
      </c>
      <c r="G66" t="s">
        <v>943</v>
      </c>
      <c r="H66"/>
      <c r="I66"/>
    </row>
    <row r="67" spans="1:9" x14ac:dyDescent="0.4">
      <c r="A67" t="s">
        <v>948</v>
      </c>
      <c r="B67" t="s">
        <v>1495</v>
      </c>
      <c r="C67" t="s">
        <v>949</v>
      </c>
      <c r="D67" t="s">
        <v>950</v>
      </c>
      <c r="E67" t="s">
        <v>951</v>
      </c>
      <c r="F67" t="s">
        <v>952</v>
      </c>
      <c r="G67" t="s">
        <v>953</v>
      </c>
      <c r="H67"/>
      <c r="I67"/>
    </row>
    <row r="68" spans="1:9" x14ac:dyDescent="0.4">
      <c r="A68" t="s">
        <v>964</v>
      </c>
      <c r="B68" t="s">
        <v>1498</v>
      </c>
      <c r="C68" t="s">
        <v>965</v>
      </c>
      <c r="D68" t="s">
        <v>966</v>
      </c>
      <c r="E68" t="s">
        <v>967</v>
      </c>
      <c r="F68" t="s">
        <v>917</v>
      </c>
      <c r="G68" t="s">
        <v>968</v>
      </c>
      <c r="H68"/>
      <c r="I68"/>
    </row>
    <row r="69" spans="1:9" x14ac:dyDescent="0.4">
      <c r="A69" t="s">
        <v>969</v>
      </c>
      <c r="B69" t="s">
        <v>1499</v>
      </c>
      <c r="C69" t="s">
        <v>970</v>
      </c>
      <c r="D69" t="s">
        <v>971</v>
      </c>
      <c r="E69" t="s">
        <v>972</v>
      </c>
      <c r="F69" t="s">
        <v>973</v>
      </c>
      <c r="G69" t="s">
        <v>974</v>
      </c>
      <c r="H69"/>
      <c r="I69"/>
    </row>
    <row r="70" spans="1:9" x14ac:dyDescent="0.4">
      <c r="A70" t="s">
        <v>978</v>
      </c>
      <c r="B70" t="s">
        <v>1500</v>
      </c>
      <c r="C70" t="s">
        <v>979</v>
      </c>
      <c r="D70" t="s">
        <v>980</v>
      </c>
      <c r="E70" t="s">
        <v>981</v>
      </c>
      <c r="F70" t="s">
        <v>982</v>
      </c>
      <c r="G70" t="s">
        <v>983</v>
      </c>
      <c r="H70"/>
      <c r="I70"/>
    </row>
    <row r="71" spans="1:9" x14ac:dyDescent="0.4">
      <c r="A71" t="s">
        <v>999</v>
      </c>
      <c r="B71" t="s">
        <v>1501</v>
      </c>
      <c r="C71" t="s">
        <v>1000</v>
      </c>
      <c r="D71" t="s">
        <v>1001</v>
      </c>
      <c r="E71" t="s">
        <v>1002</v>
      </c>
      <c r="F71" t="s">
        <v>1003</v>
      </c>
      <c r="G71" t="s">
        <v>1004</v>
      </c>
      <c r="H71"/>
      <c r="I71"/>
    </row>
    <row r="72" spans="1:9" x14ac:dyDescent="0.4">
      <c r="A72" t="s">
        <v>1008</v>
      </c>
      <c r="B72" t="s">
        <v>1459</v>
      </c>
      <c r="C72" t="s">
        <v>1009</v>
      </c>
      <c r="D72" t="s">
        <v>1010</v>
      </c>
      <c r="E72" t="s">
        <v>1011</v>
      </c>
      <c r="F72" t="s">
        <v>1012</v>
      </c>
      <c r="G72" t="s">
        <v>1013</v>
      </c>
      <c r="H72"/>
      <c r="I72"/>
    </row>
    <row r="73" spans="1:9" x14ac:dyDescent="0.4">
      <c r="A73" t="s">
        <v>1015</v>
      </c>
      <c r="B73" t="s">
        <v>1810</v>
      </c>
      <c r="C73" t="s">
        <v>1016</v>
      </c>
      <c r="D73" t="s">
        <v>1017</v>
      </c>
      <c r="E73" t="s">
        <v>1018</v>
      </c>
      <c r="F73" t="s">
        <v>1019</v>
      </c>
      <c r="G73" t="s">
        <v>1020</v>
      </c>
      <c r="H73"/>
      <c r="I73"/>
    </row>
    <row r="74" spans="1:9" x14ac:dyDescent="0.4">
      <c r="A74" t="s">
        <v>1026</v>
      </c>
      <c r="B74" t="s">
        <v>1503</v>
      </c>
      <c r="C74" t="s">
        <v>1027</v>
      </c>
      <c r="D74" t="s">
        <v>1028</v>
      </c>
      <c r="E74" t="s">
        <v>1029</v>
      </c>
      <c r="F74" t="s">
        <v>1030</v>
      </c>
      <c r="G74" t="s">
        <v>1031</v>
      </c>
      <c r="H74"/>
      <c r="I74"/>
    </row>
    <row r="75" spans="1:9" x14ac:dyDescent="0.4">
      <c r="A75" t="s">
        <v>1042</v>
      </c>
      <c r="B75" t="s">
        <v>1505</v>
      </c>
      <c r="C75" t="s">
        <v>535</v>
      </c>
      <c r="D75" t="s">
        <v>536</v>
      </c>
      <c r="E75" t="s">
        <v>537</v>
      </c>
      <c r="F75" t="s">
        <v>538</v>
      </c>
      <c r="G75" t="s">
        <v>1043</v>
      </c>
      <c r="H75"/>
      <c r="I75"/>
    </row>
    <row r="76" spans="1:9" x14ac:dyDescent="0.4">
      <c r="A76" t="s">
        <v>1046</v>
      </c>
      <c r="B76" t="s">
        <v>1506</v>
      </c>
      <c r="C76" t="s">
        <v>1047</v>
      </c>
      <c r="D76" t="s">
        <v>1048</v>
      </c>
      <c r="E76" t="s">
        <v>1049</v>
      </c>
      <c r="F76" t="s">
        <v>1050</v>
      </c>
      <c r="G76" t="s">
        <v>1051</v>
      </c>
      <c r="H76"/>
      <c r="I76"/>
    </row>
    <row r="77" spans="1:9" x14ac:dyDescent="0.4">
      <c r="A77" t="s">
        <v>1068</v>
      </c>
      <c r="B77" t="s">
        <v>1509</v>
      </c>
      <c r="C77" t="s">
        <v>384</v>
      </c>
      <c r="D77" t="s">
        <v>385</v>
      </c>
      <c r="E77" t="s">
        <v>386</v>
      </c>
      <c r="F77" t="s">
        <v>387</v>
      </c>
      <c r="G77" t="s">
        <v>1069</v>
      </c>
      <c r="H77"/>
      <c r="I77"/>
    </row>
    <row r="78" spans="1:9" x14ac:dyDescent="0.4">
      <c r="A78" t="s">
        <v>1072</v>
      </c>
      <c r="B78" t="s">
        <v>1510</v>
      </c>
      <c r="C78" t="s">
        <v>1073</v>
      </c>
      <c r="D78" t="s">
        <v>1074</v>
      </c>
      <c r="E78" t="s">
        <v>1075</v>
      </c>
      <c r="F78" t="s">
        <v>387</v>
      </c>
      <c r="G78" t="s">
        <v>1076</v>
      </c>
      <c r="H78"/>
      <c r="I78"/>
    </row>
    <row r="79" spans="1:9" x14ac:dyDescent="0.4">
      <c r="A79" t="s">
        <v>1085</v>
      </c>
      <c r="B79" t="s">
        <v>1512</v>
      </c>
      <c r="C79" t="s">
        <v>451</v>
      </c>
      <c r="D79" t="s">
        <v>452</v>
      </c>
      <c r="E79" t="s">
        <v>453</v>
      </c>
      <c r="F79" t="s">
        <v>454</v>
      </c>
      <c r="G79" t="s">
        <v>1086</v>
      </c>
      <c r="H79"/>
      <c r="I79"/>
    </row>
    <row r="80" spans="1:9" x14ac:dyDescent="0.4">
      <c r="A80" t="s">
        <v>1087</v>
      </c>
      <c r="B80" t="s">
        <v>1513</v>
      </c>
      <c r="C80" t="s">
        <v>1088</v>
      </c>
      <c r="D80" t="s">
        <v>1089</v>
      </c>
      <c r="E80" t="s">
        <v>1090</v>
      </c>
      <c r="F80" t="s">
        <v>387</v>
      </c>
      <c r="G80" t="s">
        <v>1091</v>
      </c>
      <c r="H80"/>
      <c r="I80"/>
    </row>
    <row r="81" spans="1:9" x14ac:dyDescent="0.4">
      <c r="A81" t="s">
        <v>1092</v>
      </c>
      <c r="B81" t="s">
        <v>1514</v>
      </c>
      <c r="C81" t="s">
        <v>1093</v>
      </c>
      <c r="D81" t="s">
        <v>1094</v>
      </c>
      <c r="E81" t="s">
        <v>1095</v>
      </c>
      <c r="F81" t="s">
        <v>1096</v>
      </c>
      <c r="G81" t="s">
        <v>1097</v>
      </c>
      <c r="H81"/>
      <c r="I81"/>
    </row>
    <row r="82" spans="1:9" x14ac:dyDescent="0.4">
      <c r="A82" t="s">
        <v>1101</v>
      </c>
      <c r="B82" t="s">
        <v>1515</v>
      </c>
      <c r="C82" t="s">
        <v>328</v>
      </c>
      <c r="D82" t="s">
        <v>329</v>
      </c>
      <c r="E82" t="s">
        <v>330</v>
      </c>
      <c r="F82" t="s">
        <v>331</v>
      </c>
      <c r="G82" t="s">
        <v>1102</v>
      </c>
      <c r="H82"/>
      <c r="I82"/>
    </row>
    <row r="83" spans="1:9" x14ac:dyDescent="0.4">
      <c r="A83" t="s">
        <v>1103</v>
      </c>
      <c r="B83" t="s">
        <v>1516</v>
      </c>
      <c r="C83" t="s">
        <v>384</v>
      </c>
      <c r="D83" t="s">
        <v>385</v>
      </c>
      <c r="E83" t="s">
        <v>386</v>
      </c>
      <c r="F83" t="s">
        <v>387</v>
      </c>
      <c r="G83" t="s">
        <v>1104</v>
      </c>
      <c r="H83"/>
      <c r="I83"/>
    </row>
    <row r="84" spans="1:9" x14ac:dyDescent="0.4">
      <c r="A84" t="s">
        <v>1107</v>
      </c>
      <c r="B84" t="s">
        <v>1517</v>
      </c>
      <c r="C84" t="s">
        <v>641</v>
      </c>
      <c r="D84" t="s">
        <v>642</v>
      </c>
      <c r="E84" t="s">
        <v>643</v>
      </c>
      <c r="F84" t="s">
        <v>237</v>
      </c>
      <c r="G84" t="s">
        <v>1108</v>
      </c>
      <c r="H84"/>
      <c r="I84"/>
    </row>
    <row r="85" spans="1:9" x14ac:dyDescent="0.4">
      <c r="A85" t="s">
        <v>1109</v>
      </c>
      <c r="B85" t="s">
        <v>1518</v>
      </c>
      <c r="C85" t="s">
        <v>585</v>
      </c>
      <c r="D85" t="s">
        <v>586</v>
      </c>
      <c r="E85" t="s">
        <v>587</v>
      </c>
      <c r="F85" t="s">
        <v>454</v>
      </c>
      <c r="G85" t="s">
        <v>1110</v>
      </c>
      <c r="H85"/>
      <c r="I85"/>
    </row>
    <row r="86" spans="1:9" x14ac:dyDescent="0.4">
      <c r="A86" t="s">
        <v>1111</v>
      </c>
      <c r="B86" t="s">
        <v>1518</v>
      </c>
      <c r="C86" t="s">
        <v>451</v>
      </c>
      <c r="D86" t="s">
        <v>452</v>
      </c>
      <c r="E86" t="s">
        <v>453</v>
      </c>
      <c r="F86" t="s">
        <v>454</v>
      </c>
      <c r="G86" t="s">
        <v>1110</v>
      </c>
      <c r="H86"/>
      <c r="I86"/>
    </row>
    <row r="87" spans="1:9" x14ac:dyDescent="0.4">
      <c r="A87" t="s">
        <v>1118</v>
      </c>
      <c r="B87" t="s">
        <v>1519</v>
      </c>
      <c r="C87" t="s">
        <v>541</v>
      </c>
      <c r="D87" t="s">
        <v>542</v>
      </c>
      <c r="E87" t="s">
        <v>543</v>
      </c>
      <c r="F87" t="s">
        <v>466</v>
      </c>
      <c r="G87" t="s">
        <v>1119</v>
      </c>
      <c r="H87"/>
      <c r="I87"/>
    </row>
    <row r="88" spans="1:9" x14ac:dyDescent="0.4">
      <c r="A88" t="s">
        <v>1133</v>
      </c>
      <c r="B88" t="s">
        <v>1811</v>
      </c>
      <c r="C88" t="s">
        <v>1134</v>
      </c>
      <c r="D88" t="s">
        <v>1135</v>
      </c>
      <c r="E88" t="s">
        <v>1136</v>
      </c>
      <c r="F88" t="s">
        <v>1137</v>
      </c>
      <c r="G88" t="s">
        <v>1138</v>
      </c>
      <c r="H88"/>
      <c r="I88"/>
    </row>
    <row r="89" spans="1:9" x14ac:dyDescent="0.4">
      <c r="A89" t="s">
        <v>1140</v>
      </c>
      <c r="B89" t="s">
        <v>1523</v>
      </c>
      <c r="C89" t="s">
        <v>1141</v>
      </c>
      <c r="D89" t="s">
        <v>1142</v>
      </c>
      <c r="E89" t="s">
        <v>1143</v>
      </c>
      <c r="F89" t="s">
        <v>1144</v>
      </c>
      <c r="G89" t="s">
        <v>1145</v>
      </c>
      <c r="H89"/>
      <c r="I89"/>
    </row>
    <row r="90" spans="1:9" x14ac:dyDescent="0.4">
      <c r="A90" t="s">
        <v>1151</v>
      </c>
      <c r="B90" t="s">
        <v>1525</v>
      </c>
      <c r="C90" t="s">
        <v>1152</v>
      </c>
      <c r="D90" t="s">
        <v>1153</v>
      </c>
      <c r="E90" t="s">
        <v>1154</v>
      </c>
      <c r="F90" t="s">
        <v>1155</v>
      </c>
      <c r="G90" t="s">
        <v>1156</v>
      </c>
      <c r="H90"/>
      <c r="I90"/>
    </row>
    <row r="91" spans="1:9" x14ac:dyDescent="0.4">
      <c r="A91" t="s">
        <v>1162</v>
      </c>
      <c r="B91" t="s">
        <v>1461</v>
      </c>
      <c r="C91" t="s">
        <v>140</v>
      </c>
      <c r="D91" t="s">
        <v>141</v>
      </c>
      <c r="E91" t="s">
        <v>142</v>
      </c>
      <c r="F91" t="s">
        <v>143</v>
      </c>
      <c r="G91" t="s">
        <v>1163</v>
      </c>
      <c r="H91"/>
      <c r="I91"/>
    </row>
    <row r="92" spans="1:9" x14ac:dyDescent="0.4">
      <c r="A92" t="s">
        <v>1164</v>
      </c>
      <c r="B92" t="s">
        <v>1526</v>
      </c>
      <c r="C92" t="s">
        <v>203</v>
      </c>
      <c r="D92" t="s">
        <v>204</v>
      </c>
      <c r="E92" t="s">
        <v>205</v>
      </c>
      <c r="F92" t="s">
        <v>206</v>
      </c>
      <c r="G92" t="s">
        <v>1165</v>
      </c>
      <c r="H92"/>
      <c r="I92"/>
    </row>
    <row r="93" spans="1:9" x14ac:dyDescent="0.4">
      <c r="A93" t="s">
        <v>1170</v>
      </c>
      <c r="B93" t="s">
        <v>1528</v>
      </c>
      <c r="C93" t="s">
        <v>1171</v>
      </c>
      <c r="D93" t="s">
        <v>1172</v>
      </c>
      <c r="E93" t="s">
        <v>1173</v>
      </c>
      <c r="F93" t="s">
        <v>1174</v>
      </c>
      <c r="G93" t="s">
        <v>1175</v>
      </c>
      <c r="H93"/>
      <c r="I93"/>
    </row>
    <row r="94" spans="1:9" x14ac:dyDescent="0.4">
      <c r="A94" t="s">
        <v>1176</v>
      </c>
      <c r="B94" t="s">
        <v>1529</v>
      </c>
      <c r="C94" t="s">
        <v>1177</v>
      </c>
      <c r="D94" t="s">
        <v>1178</v>
      </c>
      <c r="E94" t="s">
        <v>1179</v>
      </c>
      <c r="F94" t="s">
        <v>1180</v>
      </c>
      <c r="G94" t="s">
        <v>1181</v>
      </c>
      <c r="H94"/>
      <c r="I94"/>
    </row>
    <row r="95" spans="1:9" x14ac:dyDescent="0.4">
      <c r="A95" t="s">
        <v>1190</v>
      </c>
      <c r="B95" t="s">
        <v>1530</v>
      </c>
      <c r="C95" t="s">
        <v>860</v>
      </c>
      <c r="D95" t="s">
        <v>861</v>
      </c>
      <c r="E95" t="s">
        <v>862</v>
      </c>
      <c r="F95" t="s">
        <v>466</v>
      </c>
      <c r="G95" t="s">
        <v>1191</v>
      </c>
      <c r="H95"/>
      <c r="I95"/>
    </row>
    <row r="96" spans="1:9" x14ac:dyDescent="0.4">
      <c r="A96" t="s">
        <v>1201</v>
      </c>
      <c r="B96" t="s">
        <v>1532</v>
      </c>
      <c r="C96" t="s">
        <v>1202</v>
      </c>
      <c r="D96" t="s">
        <v>1203</v>
      </c>
      <c r="E96" t="s">
        <v>1204</v>
      </c>
      <c r="F96" t="s">
        <v>1205</v>
      </c>
      <c r="G96" t="s">
        <v>1206</v>
      </c>
      <c r="H96"/>
      <c r="I96"/>
    </row>
    <row r="97" spans="1:9" x14ac:dyDescent="0.4">
      <c r="A97" t="s">
        <v>1221</v>
      </c>
      <c r="B97" t="s">
        <v>1535</v>
      </c>
      <c r="C97" t="s">
        <v>1222</v>
      </c>
      <c r="D97" t="s">
        <v>1223</v>
      </c>
      <c r="E97" t="s">
        <v>1224</v>
      </c>
      <c r="F97" t="s">
        <v>1225</v>
      </c>
      <c r="G97" t="s">
        <v>1226</v>
      </c>
      <c r="H97"/>
      <c r="I97"/>
    </row>
    <row r="98" spans="1:9" x14ac:dyDescent="0.4">
      <c r="A98" t="s">
        <v>1232</v>
      </c>
      <c r="B98" t="s">
        <v>1537</v>
      </c>
      <c r="C98" t="s">
        <v>241</v>
      </c>
      <c r="D98" t="s">
        <v>242</v>
      </c>
      <c r="E98" t="s">
        <v>243</v>
      </c>
      <c r="F98" t="s">
        <v>244</v>
      </c>
      <c r="G98" t="s">
        <v>1233</v>
      </c>
      <c r="H98"/>
      <c r="I98"/>
    </row>
    <row r="99" spans="1:9" x14ac:dyDescent="0.4">
      <c r="A99" t="s">
        <v>1236</v>
      </c>
      <c r="B99" t="s">
        <v>1539</v>
      </c>
      <c r="C99" t="s">
        <v>1237</v>
      </c>
      <c r="D99" t="s">
        <v>1238</v>
      </c>
      <c r="E99" t="s">
        <v>1239</v>
      </c>
      <c r="F99" t="s">
        <v>331</v>
      </c>
      <c r="G99" t="s">
        <v>1240</v>
      </c>
      <c r="H99"/>
      <c r="I99"/>
    </row>
    <row r="100" spans="1:9" x14ac:dyDescent="0.4">
      <c r="A100" t="s">
        <v>1250</v>
      </c>
      <c r="B100" t="s">
        <v>1541</v>
      </c>
      <c r="C100" t="s">
        <v>860</v>
      </c>
      <c r="D100" t="s">
        <v>861</v>
      </c>
      <c r="E100" t="s">
        <v>862</v>
      </c>
      <c r="F100" t="s">
        <v>466</v>
      </c>
      <c r="G100" t="s">
        <v>1251</v>
      </c>
      <c r="H100"/>
      <c r="I100"/>
    </row>
    <row r="101" spans="1:9" x14ac:dyDescent="0.4">
      <c r="A101" t="s">
        <v>1256</v>
      </c>
      <c r="B101" t="s">
        <v>1542</v>
      </c>
      <c r="C101" t="s">
        <v>277</v>
      </c>
      <c r="D101" t="s">
        <v>278</v>
      </c>
      <c r="E101" t="s">
        <v>279</v>
      </c>
      <c r="F101" t="s">
        <v>280</v>
      </c>
      <c r="G101" t="s">
        <v>1257</v>
      </c>
      <c r="H101"/>
      <c r="I101"/>
    </row>
    <row r="102" spans="1:9" x14ac:dyDescent="0.4">
      <c r="A102" t="s">
        <v>1260</v>
      </c>
      <c r="B102" t="s">
        <v>1543</v>
      </c>
      <c r="C102" t="s">
        <v>1261</v>
      </c>
      <c r="D102" t="s">
        <v>1262</v>
      </c>
      <c r="E102" t="s">
        <v>1263</v>
      </c>
      <c r="F102" t="s">
        <v>1264</v>
      </c>
      <c r="G102" t="s">
        <v>1265</v>
      </c>
      <c r="H102"/>
      <c r="I102"/>
    </row>
    <row r="103" spans="1:9" x14ac:dyDescent="0.4">
      <c r="A103" t="s">
        <v>1270</v>
      </c>
      <c r="B103" t="s">
        <v>1544</v>
      </c>
      <c r="C103" t="s">
        <v>304</v>
      </c>
      <c r="D103" t="s">
        <v>305</v>
      </c>
      <c r="E103" t="s">
        <v>306</v>
      </c>
      <c r="F103" t="s">
        <v>307</v>
      </c>
      <c r="G103" t="s">
        <v>1271</v>
      </c>
      <c r="H103"/>
      <c r="I103"/>
    </row>
    <row r="104" spans="1:9" x14ac:dyDescent="0.4">
      <c r="A104" t="s">
        <v>1274</v>
      </c>
      <c r="B104" t="s">
        <v>1545</v>
      </c>
      <c r="C104" t="s">
        <v>241</v>
      </c>
      <c r="D104" t="s">
        <v>242</v>
      </c>
      <c r="E104" t="s">
        <v>243</v>
      </c>
      <c r="F104" t="s">
        <v>244</v>
      </c>
      <c r="G104" t="s">
        <v>1275</v>
      </c>
      <c r="H104"/>
      <c r="I104"/>
    </row>
    <row r="105" spans="1:9" x14ac:dyDescent="0.4">
      <c r="A105" t="s">
        <v>1276</v>
      </c>
      <c r="B105" t="s">
        <v>1546</v>
      </c>
      <c r="C105" t="s">
        <v>1277</v>
      </c>
      <c r="D105" t="s">
        <v>1278</v>
      </c>
      <c r="E105" t="s">
        <v>1279</v>
      </c>
      <c r="F105" t="s">
        <v>1280</v>
      </c>
      <c r="G105" t="s">
        <v>1281</v>
      </c>
      <c r="H105"/>
      <c r="I105"/>
    </row>
    <row r="106" spans="1:9" x14ac:dyDescent="0.4">
      <c r="A106" t="s">
        <v>1282</v>
      </c>
      <c r="B106" t="s">
        <v>1547</v>
      </c>
      <c r="C106" t="s">
        <v>1283</v>
      </c>
      <c r="D106" t="s">
        <v>1284</v>
      </c>
      <c r="E106" t="s">
        <v>1285</v>
      </c>
      <c r="F106" t="s">
        <v>1286</v>
      </c>
      <c r="G106" t="s">
        <v>1287</v>
      </c>
      <c r="H106"/>
      <c r="I106"/>
    </row>
    <row r="107" spans="1:9" x14ac:dyDescent="0.4">
      <c r="A107" t="s">
        <v>1291</v>
      </c>
      <c r="B107" t="s">
        <v>1548</v>
      </c>
      <c r="C107" t="s">
        <v>1292</v>
      </c>
      <c r="D107" t="s">
        <v>1293</v>
      </c>
      <c r="E107" t="s">
        <v>1294</v>
      </c>
      <c r="F107" t="s">
        <v>1295</v>
      </c>
      <c r="G107" t="s">
        <v>1296</v>
      </c>
      <c r="H107"/>
      <c r="I107"/>
    </row>
    <row r="108" spans="1:9" x14ac:dyDescent="0.4">
      <c r="A108" t="s">
        <v>1306</v>
      </c>
      <c r="B108" t="s">
        <v>1550</v>
      </c>
      <c r="C108" t="s">
        <v>1307</v>
      </c>
      <c r="D108" t="s">
        <v>1308</v>
      </c>
      <c r="E108" t="s">
        <v>1309</v>
      </c>
      <c r="F108" t="s">
        <v>1310</v>
      </c>
      <c r="G108" t="s">
        <v>1311</v>
      </c>
      <c r="H108"/>
      <c r="I108"/>
    </row>
    <row r="109" spans="1:9" x14ac:dyDescent="0.4">
      <c r="A109" t="s">
        <v>1314</v>
      </c>
      <c r="B109" t="s">
        <v>1552</v>
      </c>
      <c r="C109" t="s">
        <v>1315</v>
      </c>
      <c r="D109" t="s">
        <v>1316</v>
      </c>
      <c r="E109" t="s">
        <v>1317</v>
      </c>
      <c r="F109" t="s">
        <v>1318</v>
      </c>
      <c r="G109" t="s">
        <v>1319</v>
      </c>
      <c r="H109"/>
      <c r="I109"/>
    </row>
    <row r="110" spans="1:9" x14ac:dyDescent="0.4">
      <c r="A110" t="s">
        <v>1328</v>
      </c>
      <c r="B110" t="s">
        <v>1555</v>
      </c>
      <c r="C110" t="s">
        <v>1329</v>
      </c>
      <c r="D110" t="s">
        <v>1330</v>
      </c>
      <c r="E110" t="s">
        <v>1331</v>
      </c>
      <c r="F110" t="s">
        <v>1332</v>
      </c>
      <c r="G110" t="s">
        <v>1333</v>
      </c>
      <c r="H110"/>
      <c r="I110"/>
    </row>
    <row r="111" spans="1:9" x14ac:dyDescent="0.4">
      <c r="A111" t="s">
        <v>1336</v>
      </c>
      <c r="B111" t="s">
        <v>1557</v>
      </c>
      <c r="C111" t="s">
        <v>1337</v>
      </c>
      <c r="D111" t="s">
        <v>1338</v>
      </c>
      <c r="E111" t="s">
        <v>1339</v>
      </c>
      <c r="F111" t="s">
        <v>1340</v>
      </c>
      <c r="G111" t="s">
        <v>1341</v>
      </c>
      <c r="H111"/>
      <c r="I111"/>
    </row>
    <row r="112" spans="1:9" x14ac:dyDescent="0.4">
      <c r="A112" t="s">
        <v>1342</v>
      </c>
      <c r="B112" t="s">
        <v>1558</v>
      </c>
      <c r="C112" t="s">
        <v>563</v>
      </c>
      <c r="D112" t="s">
        <v>564</v>
      </c>
      <c r="E112" t="s">
        <v>565</v>
      </c>
      <c r="F112" t="s">
        <v>566</v>
      </c>
      <c r="G112" t="s">
        <v>1343</v>
      </c>
      <c r="H112"/>
      <c r="I112"/>
    </row>
    <row r="113" spans="1:9" x14ac:dyDescent="0.4">
      <c r="A113" t="s">
        <v>1347</v>
      </c>
      <c r="B113" t="s">
        <v>1559</v>
      </c>
      <c r="C113" t="s">
        <v>1348</v>
      </c>
      <c r="D113" t="s">
        <v>1349</v>
      </c>
      <c r="E113" t="s">
        <v>1350</v>
      </c>
      <c r="F113" t="s">
        <v>1351</v>
      </c>
      <c r="G113" t="s">
        <v>1352</v>
      </c>
      <c r="H113"/>
      <c r="I113"/>
    </row>
    <row r="114" spans="1:9" x14ac:dyDescent="0.4">
      <c r="A114" t="s">
        <v>1360</v>
      </c>
      <c r="B114" t="s">
        <v>1560</v>
      </c>
      <c r="C114" t="s">
        <v>328</v>
      </c>
      <c r="D114" t="s">
        <v>329</v>
      </c>
      <c r="E114" t="s">
        <v>330</v>
      </c>
      <c r="F114" t="s">
        <v>331</v>
      </c>
      <c r="G114" t="s">
        <v>1361</v>
      </c>
      <c r="H114"/>
      <c r="I114"/>
    </row>
    <row r="115" spans="1:9" x14ac:dyDescent="0.4">
      <c r="A115" t="s">
        <v>1362</v>
      </c>
      <c r="B115" t="s">
        <v>1561</v>
      </c>
      <c r="C115" t="s">
        <v>1363</v>
      </c>
      <c r="D115" t="s">
        <v>1364</v>
      </c>
      <c r="E115" t="s">
        <v>1365</v>
      </c>
      <c r="F115" t="s">
        <v>1366</v>
      </c>
      <c r="G115" t="s">
        <v>1367</v>
      </c>
      <c r="H115"/>
      <c r="I115"/>
    </row>
    <row r="116" spans="1:9" x14ac:dyDescent="0.4">
      <c r="A116" t="s">
        <v>1372</v>
      </c>
      <c r="B116" t="s">
        <v>1562</v>
      </c>
      <c r="C116" t="s">
        <v>1373</v>
      </c>
      <c r="D116" t="s">
        <v>1374</v>
      </c>
      <c r="E116" t="s">
        <v>1375</v>
      </c>
      <c r="F116" t="s">
        <v>1376</v>
      </c>
      <c r="G116" t="s">
        <v>1377</v>
      </c>
      <c r="H116"/>
      <c r="I116"/>
    </row>
    <row r="117" spans="1:9" x14ac:dyDescent="0.4">
      <c r="A117" t="s">
        <v>1379</v>
      </c>
      <c r="B117" t="s">
        <v>1563</v>
      </c>
      <c r="C117" t="s">
        <v>1222</v>
      </c>
      <c r="D117" t="s">
        <v>1223</v>
      </c>
      <c r="E117" t="s">
        <v>1224</v>
      </c>
      <c r="F117" t="s">
        <v>1225</v>
      </c>
      <c r="G117" t="s">
        <v>1380</v>
      </c>
      <c r="H117"/>
      <c r="I117"/>
    </row>
    <row r="118" spans="1:9" x14ac:dyDescent="0.4">
      <c r="A118" t="s">
        <v>1384</v>
      </c>
      <c r="B118" t="s">
        <v>1564</v>
      </c>
      <c r="C118" t="s">
        <v>1385</v>
      </c>
      <c r="D118" t="s">
        <v>1386</v>
      </c>
      <c r="E118" t="s">
        <v>1387</v>
      </c>
      <c r="F118" t="s">
        <v>1388</v>
      </c>
      <c r="G118" t="s">
        <v>1389</v>
      </c>
      <c r="H118"/>
      <c r="I118"/>
    </row>
    <row r="119" spans="1:9" x14ac:dyDescent="0.4">
      <c r="A119" t="s">
        <v>1397</v>
      </c>
      <c r="B119" t="s">
        <v>1566</v>
      </c>
      <c r="C119" t="s">
        <v>1398</v>
      </c>
      <c r="D119" t="s">
        <v>1399</v>
      </c>
      <c r="E119" t="s">
        <v>1400</v>
      </c>
      <c r="F119" t="s">
        <v>1401</v>
      </c>
      <c r="G119" t="s">
        <v>1402</v>
      </c>
      <c r="H119"/>
      <c r="I119"/>
    </row>
    <row r="120" spans="1:9" x14ac:dyDescent="0.4">
      <c r="A120" t="s">
        <v>1403</v>
      </c>
      <c r="B120" t="s">
        <v>1567</v>
      </c>
      <c r="C120" t="s">
        <v>1373</v>
      </c>
      <c r="D120" t="s">
        <v>1374</v>
      </c>
      <c r="E120" t="s">
        <v>1375</v>
      </c>
      <c r="F120" t="s">
        <v>1376</v>
      </c>
      <c r="G120" t="s">
        <v>1404</v>
      </c>
      <c r="H120"/>
      <c r="I120"/>
    </row>
    <row r="121" spans="1:9" x14ac:dyDescent="0.4">
      <c r="A121" t="s">
        <v>1407</v>
      </c>
      <c r="B121" t="s">
        <v>1568</v>
      </c>
      <c r="C121" t="s">
        <v>585</v>
      </c>
      <c r="D121" t="s">
        <v>586</v>
      </c>
      <c r="E121" t="s">
        <v>587</v>
      </c>
      <c r="F121" t="s">
        <v>454</v>
      </c>
      <c r="G121" t="s">
        <v>1408</v>
      </c>
      <c r="H121"/>
      <c r="I121"/>
    </row>
    <row r="122" spans="1:9" x14ac:dyDescent="0.4">
      <c r="A122" t="s">
        <v>1412</v>
      </c>
      <c r="B122" t="s">
        <v>1569</v>
      </c>
      <c r="C122" t="s">
        <v>304</v>
      </c>
      <c r="D122" t="s">
        <v>305</v>
      </c>
      <c r="E122" t="s">
        <v>306</v>
      </c>
      <c r="F122" t="s">
        <v>307</v>
      </c>
      <c r="G122" t="s">
        <v>1413</v>
      </c>
      <c r="H122"/>
      <c r="I122"/>
    </row>
    <row r="123" spans="1:9" x14ac:dyDescent="0.4">
      <c r="A123" t="s">
        <v>1414</v>
      </c>
      <c r="B123" t="s">
        <v>1570</v>
      </c>
      <c r="C123" t="s">
        <v>585</v>
      </c>
      <c r="D123" t="s">
        <v>586</v>
      </c>
      <c r="E123" t="s">
        <v>587</v>
      </c>
      <c r="F123" t="s">
        <v>454</v>
      </c>
      <c r="G123" t="s">
        <v>1415</v>
      </c>
      <c r="H123"/>
      <c r="I123"/>
    </row>
    <row r="124" spans="1:9" x14ac:dyDescent="0.4">
      <c r="A124" t="s">
        <v>1428</v>
      </c>
      <c r="B124" t="s">
        <v>1571</v>
      </c>
      <c r="C124" t="s">
        <v>1429</v>
      </c>
      <c r="D124" t="s">
        <v>1430</v>
      </c>
      <c r="E124" t="s">
        <v>1431</v>
      </c>
      <c r="F124" t="s">
        <v>1432</v>
      </c>
      <c r="G124" t="s">
        <v>1433</v>
      </c>
      <c r="H124"/>
      <c r="I124"/>
    </row>
    <row r="125" spans="1:9" x14ac:dyDescent="0.4">
      <c r="A125" t="s">
        <v>1439</v>
      </c>
      <c r="B125" t="s">
        <v>1464</v>
      </c>
      <c r="C125" t="s">
        <v>417</v>
      </c>
      <c r="D125" t="s">
        <v>418</v>
      </c>
      <c r="E125" t="s">
        <v>419</v>
      </c>
      <c r="F125" t="s">
        <v>420</v>
      </c>
      <c r="G125" t="s">
        <v>1440</v>
      </c>
      <c r="H125"/>
      <c r="I125"/>
    </row>
    <row r="126" spans="1:9" x14ac:dyDescent="0.4">
      <c r="A126" t="s">
        <v>1444</v>
      </c>
      <c r="B126" t="s">
        <v>1573</v>
      </c>
      <c r="C126" t="s">
        <v>328</v>
      </c>
      <c r="D126" t="s">
        <v>329</v>
      </c>
      <c r="E126" t="s">
        <v>330</v>
      </c>
      <c r="F126" t="s">
        <v>331</v>
      </c>
      <c r="G126" t="s">
        <v>1445</v>
      </c>
      <c r="H126"/>
      <c r="I126"/>
    </row>
    <row r="127" spans="1:9" x14ac:dyDescent="0.4">
      <c r="A127" t="s">
        <v>1448</v>
      </c>
      <c r="B127" t="s">
        <v>1574</v>
      </c>
      <c r="C127" t="s">
        <v>579</v>
      </c>
      <c r="D127" t="s">
        <v>580</v>
      </c>
      <c r="E127" t="s">
        <v>581</v>
      </c>
      <c r="F127" t="s">
        <v>582</v>
      </c>
      <c r="G127" t="s">
        <v>1449</v>
      </c>
      <c r="H127"/>
      <c r="I127"/>
    </row>
  </sheetData>
  <autoFilter ref="A3:G3" xr:uid="{F2E692C4-0BF1-4DBE-9F6D-F0EFD0AD32C4}"/>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5BF4C-5800-4478-A278-9992C99620F5}">
  <sheetPr codeName="Sheet10">
    <tabColor rgb="FF00B050"/>
  </sheetPr>
  <dimension ref="A1:A528"/>
  <sheetViews>
    <sheetView topLeftCell="A259" workbookViewId="0">
      <selection activeCell="K274" sqref="K274"/>
    </sheetView>
  </sheetViews>
  <sheetFormatPr defaultRowHeight="18.75" x14ac:dyDescent="0.4"/>
  <sheetData>
    <row r="1" spans="1:1" ht="19.5" thickBot="1" x14ac:dyDescent="0.45">
      <c r="A1" s="3">
        <v>83</v>
      </c>
    </row>
    <row r="3" spans="1:1" x14ac:dyDescent="0.4">
      <c r="A3" s="16" t="s">
        <v>1935</v>
      </c>
    </row>
    <row r="4" spans="1:1" x14ac:dyDescent="0.4">
      <c r="A4" s="18" t="s">
        <v>1936</v>
      </c>
    </row>
    <row r="5" spans="1:1" x14ac:dyDescent="0.4">
      <c r="A5" s="18" t="s">
        <v>1937</v>
      </c>
    </row>
    <row r="6" spans="1:1" x14ac:dyDescent="0.4">
      <c r="A6" s="18" t="s">
        <v>1938</v>
      </c>
    </row>
    <row r="7" spans="1:1" x14ac:dyDescent="0.4">
      <c r="A7" s="18" t="s">
        <v>2191</v>
      </c>
    </row>
    <row r="9" spans="1:1" x14ac:dyDescent="0.4">
      <c r="A9" s="16" t="s">
        <v>1939</v>
      </c>
    </row>
    <row r="10" spans="1:1" x14ac:dyDescent="0.4">
      <c r="A10" s="18" t="s">
        <v>1940</v>
      </c>
    </row>
    <row r="11" spans="1:1" x14ac:dyDescent="0.4">
      <c r="A11" s="18" t="s">
        <v>1941</v>
      </c>
    </row>
    <row r="12" spans="1:1" x14ac:dyDescent="0.4">
      <c r="A12" s="18" t="s">
        <v>1942</v>
      </c>
    </row>
    <row r="13" spans="1:1" x14ac:dyDescent="0.4">
      <c r="A13" s="18" t="s">
        <v>2197</v>
      </c>
    </row>
    <row r="14" spans="1:1" x14ac:dyDescent="0.4">
      <c r="A14" s="18" t="s">
        <v>2198</v>
      </c>
    </row>
    <row r="15" spans="1:1" x14ac:dyDescent="0.4">
      <c r="A15" s="18" t="s">
        <v>638</v>
      </c>
    </row>
    <row r="17" spans="1:1" x14ac:dyDescent="0.4">
      <c r="A17" s="16" t="s">
        <v>1943</v>
      </c>
    </row>
    <row r="18" spans="1:1" x14ac:dyDescent="0.4">
      <c r="A18" s="18" t="s">
        <v>1944</v>
      </c>
    </row>
    <row r="19" spans="1:1" x14ac:dyDescent="0.4">
      <c r="A19" s="18" t="s">
        <v>1945</v>
      </c>
    </row>
    <row r="20" spans="1:1" x14ac:dyDescent="0.4">
      <c r="A20" s="18" t="s">
        <v>1946</v>
      </c>
    </row>
    <row r="21" spans="1:1" x14ac:dyDescent="0.4">
      <c r="A21" s="18" t="s">
        <v>2192</v>
      </c>
    </row>
    <row r="22" spans="1:1" x14ac:dyDescent="0.4">
      <c r="A22" s="18" t="s">
        <v>2193</v>
      </c>
    </row>
    <row r="23" spans="1:1" x14ac:dyDescent="0.4">
      <c r="A23" s="18" t="s">
        <v>638</v>
      </c>
    </row>
    <row r="25" spans="1:1" x14ac:dyDescent="0.4">
      <c r="A25" s="16" t="s">
        <v>1947</v>
      </c>
    </row>
    <row r="26" spans="1:1" x14ac:dyDescent="0.4">
      <c r="A26" s="18" t="s">
        <v>1948</v>
      </c>
    </row>
    <row r="27" spans="1:1" x14ac:dyDescent="0.4">
      <c r="A27" s="18" t="s">
        <v>1949</v>
      </c>
    </row>
    <row r="28" spans="1:1" x14ac:dyDescent="0.4">
      <c r="A28" s="18" t="s">
        <v>1950</v>
      </c>
    </row>
    <row r="29" spans="1:1" x14ac:dyDescent="0.4">
      <c r="A29" s="18" t="s">
        <v>2199</v>
      </c>
    </row>
    <row r="30" spans="1:1" x14ac:dyDescent="0.4">
      <c r="A30" s="15"/>
    </row>
    <row r="31" spans="1:1" x14ac:dyDescent="0.4">
      <c r="A31" s="16" t="s">
        <v>1951</v>
      </c>
    </row>
    <row r="32" spans="1:1" x14ac:dyDescent="0.4">
      <c r="A32" s="18" t="s">
        <v>1948</v>
      </c>
    </row>
    <row r="33" spans="1:1" x14ac:dyDescent="0.4">
      <c r="A33" s="18" t="s">
        <v>1949</v>
      </c>
    </row>
    <row r="34" spans="1:1" x14ac:dyDescent="0.4">
      <c r="A34" s="18" t="s">
        <v>1950</v>
      </c>
    </row>
    <row r="35" spans="1:1" x14ac:dyDescent="0.4">
      <c r="A35" s="18" t="s">
        <v>2200</v>
      </c>
    </row>
    <row r="36" spans="1:1" x14ac:dyDescent="0.4">
      <c r="A36" s="15"/>
    </row>
    <row r="37" spans="1:1" x14ac:dyDescent="0.4">
      <c r="A37" s="16" t="s">
        <v>1952</v>
      </c>
    </row>
    <row r="38" spans="1:1" x14ac:dyDescent="0.4">
      <c r="A38" s="18" t="s">
        <v>1953</v>
      </c>
    </row>
    <row r="39" spans="1:1" x14ac:dyDescent="0.4">
      <c r="A39" s="18" t="s">
        <v>1954</v>
      </c>
    </row>
    <row r="40" spans="1:1" x14ac:dyDescent="0.4">
      <c r="A40" s="18" t="s">
        <v>1950</v>
      </c>
    </row>
    <row r="41" spans="1:1" x14ac:dyDescent="0.4">
      <c r="A41" s="18" t="s">
        <v>2201</v>
      </c>
    </row>
    <row r="42" spans="1:1" x14ac:dyDescent="0.4">
      <c r="A42" s="15"/>
    </row>
    <row r="43" spans="1:1" x14ac:dyDescent="0.4">
      <c r="A43" s="16" t="s">
        <v>1955</v>
      </c>
    </row>
    <row r="44" spans="1:1" x14ac:dyDescent="0.4">
      <c r="A44" s="18" t="s">
        <v>1956</v>
      </c>
    </row>
    <row r="45" spans="1:1" x14ac:dyDescent="0.4">
      <c r="A45" s="18" t="s">
        <v>1957</v>
      </c>
    </row>
    <row r="46" spans="1:1" x14ac:dyDescent="0.4">
      <c r="A46" s="18" t="s">
        <v>1950</v>
      </c>
    </row>
    <row r="47" spans="1:1" x14ac:dyDescent="0.4">
      <c r="A47" s="18" t="s">
        <v>2202</v>
      </c>
    </row>
    <row r="51" spans="1:1" x14ac:dyDescent="0.4">
      <c r="A51" t="s">
        <v>1958</v>
      </c>
    </row>
    <row r="52" spans="1:1" x14ac:dyDescent="0.4">
      <c r="A52" t="s">
        <v>1959</v>
      </c>
    </row>
    <row r="53" spans="1:1" x14ac:dyDescent="0.4">
      <c r="A53" t="s">
        <v>1960</v>
      </c>
    </row>
    <row r="54" spans="1:1" x14ac:dyDescent="0.4">
      <c r="A54" t="s">
        <v>1961</v>
      </c>
    </row>
    <row r="55" spans="1:1" x14ac:dyDescent="0.4">
      <c r="A55" t="s">
        <v>1962</v>
      </c>
    </row>
    <row r="56" spans="1:1" x14ac:dyDescent="0.4">
      <c r="A56" t="s">
        <v>1963</v>
      </c>
    </row>
    <row r="57" spans="1:1" x14ac:dyDescent="0.4">
      <c r="A57" t="s">
        <v>1964</v>
      </c>
    </row>
    <row r="58" spans="1:1" x14ac:dyDescent="0.4">
      <c r="A58" t="s">
        <v>1965</v>
      </c>
    </row>
    <row r="59" spans="1:1" x14ac:dyDescent="0.4">
      <c r="A59" t="s">
        <v>1966</v>
      </c>
    </row>
    <row r="61" spans="1:1" x14ac:dyDescent="0.4">
      <c r="A61" t="s">
        <v>1967</v>
      </c>
    </row>
    <row r="62" spans="1:1" x14ac:dyDescent="0.4">
      <c r="A62" t="s">
        <v>1968</v>
      </c>
    </row>
    <row r="63" spans="1:1" x14ac:dyDescent="0.4">
      <c r="A63" t="s">
        <v>1969</v>
      </c>
    </row>
    <row r="64" spans="1:1" x14ac:dyDescent="0.4">
      <c r="A64" t="s">
        <v>1970</v>
      </c>
    </row>
    <row r="65" spans="1:1" x14ac:dyDescent="0.4">
      <c r="A65" t="s">
        <v>1971</v>
      </c>
    </row>
    <row r="66" spans="1:1" x14ac:dyDescent="0.4">
      <c r="A66" t="s">
        <v>1965</v>
      </c>
    </row>
    <row r="68" spans="1:1" x14ac:dyDescent="0.4">
      <c r="A68" t="s">
        <v>1972</v>
      </c>
    </row>
    <row r="69" spans="1:1" x14ac:dyDescent="0.4">
      <c r="A69" t="s">
        <v>1973</v>
      </c>
    </row>
    <row r="70" spans="1:1" x14ac:dyDescent="0.4">
      <c r="A70" t="s">
        <v>1974</v>
      </c>
    </row>
    <row r="71" spans="1:1" x14ac:dyDescent="0.4">
      <c r="A71" t="s">
        <v>1975</v>
      </c>
    </row>
    <row r="72" spans="1:1" x14ac:dyDescent="0.4">
      <c r="A72" t="s">
        <v>1976</v>
      </c>
    </row>
    <row r="73" spans="1:1" x14ac:dyDescent="0.4">
      <c r="A73" t="s">
        <v>1965</v>
      </c>
    </row>
    <row r="75" spans="1:1" x14ac:dyDescent="0.4">
      <c r="A75" t="s">
        <v>1977</v>
      </c>
    </row>
    <row r="76" spans="1:1" x14ac:dyDescent="0.4">
      <c r="A76" t="s">
        <v>1978</v>
      </c>
    </row>
    <row r="77" spans="1:1" x14ac:dyDescent="0.4">
      <c r="A77" t="s">
        <v>1979</v>
      </c>
    </row>
    <row r="78" spans="1:1" x14ac:dyDescent="0.4">
      <c r="A78" t="s">
        <v>1980</v>
      </c>
    </row>
    <row r="79" spans="1:1" x14ac:dyDescent="0.4">
      <c r="A79" t="s">
        <v>1981</v>
      </c>
    </row>
    <row r="80" spans="1:1" x14ac:dyDescent="0.4">
      <c r="A80" t="s">
        <v>1965</v>
      </c>
    </row>
    <row r="82" spans="1:1" x14ac:dyDescent="0.4">
      <c r="A82" t="s">
        <v>1982</v>
      </c>
    </row>
    <row r="83" spans="1:1" x14ac:dyDescent="0.4">
      <c r="A83" t="s">
        <v>1978</v>
      </c>
    </row>
    <row r="84" spans="1:1" x14ac:dyDescent="0.4">
      <c r="A84" t="s">
        <v>1979</v>
      </c>
    </row>
    <row r="85" spans="1:1" x14ac:dyDescent="0.4">
      <c r="A85" t="s">
        <v>1980</v>
      </c>
    </row>
    <row r="86" spans="1:1" x14ac:dyDescent="0.4">
      <c r="A86" t="s">
        <v>1983</v>
      </c>
    </row>
    <row r="87" spans="1:1" x14ac:dyDescent="0.4">
      <c r="A87" t="s">
        <v>1965</v>
      </c>
    </row>
    <row r="89" spans="1:1" x14ac:dyDescent="0.4">
      <c r="A89" t="s">
        <v>1984</v>
      </c>
    </row>
    <row r="90" spans="1:1" x14ac:dyDescent="0.4">
      <c r="A90" t="s">
        <v>1985</v>
      </c>
    </row>
    <row r="91" spans="1:1" x14ac:dyDescent="0.4">
      <c r="A91" t="s">
        <v>1986</v>
      </c>
    </row>
    <row r="92" spans="1:1" x14ac:dyDescent="0.4">
      <c r="A92" t="s">
        <v>1987</v>
      </c>
    </row>
    <row r="93" spans="1:1" x14ac:dyDescent="0.4">
      <c r="A93" t="s">
        <v>1988</v>
      </c>
    </row>
    <row r="94" spans="1:1" x14ac:dyDescent="0.4">
      <c r="A94" t="s">
        <v>1989</v>
      </c>
    </row>
    <row r="95" spans="1:1" x14ac:dyDescent="0.4">
      <c r="A95" t="s">
        <v>1990</v>
      </c>
    </row>
    <row r="97" spans="1:1" x14ac:dyDescent="0.4">
      <c r="A97" t="s">
        <v>1991</v>
      </c>
    </row>
    <row r="98" spans="1:1" x14ac:dyDescent="0.4">
      <c r="A98" t="s">
        <v>1992</v>
      </c>
    </row>
    <row r="99" spans="1:1" x14ac:dyDescent="0.4">
      <c r="A99" t="s">
        <v>1993</v>
      </c>
    </row>
    <row r="100" spans="1:1" x14ac:dyDescent="0.4">
      <c r="A100" t="s">
        <v>1994</v>
      </c>
    </row>
    <row r="101" spans="1:1" x14ac:dyDescent="0.4">
      <c r="A101" t="s">
        <v>1995</v>
      </c>
    </row>
    <row r="103" spans="1:1" x14ac:dyDescent="0.4">
      <c r="A103" t="s">
        <v>1996</v>
      </c>
    </row>
    <row r="104" spans="1:1" x14ac:dyDescent="0.4">
      <c r="A104" t="s">
        <v>1997</v>
      </c>
    </row>
    <row r="105" spans="1:1" x14ac:dyDescent="0.4">
      <c r="A105" t="s">
        <v>1998</v>
      </c>
    </row>
    <row r="106" spans="1:1" x14ac:dyDescent="0.4">
      <c r="A106" t="s">
        <v>1999</v>
      </c>
    </row>
    <row r="107" spans="1:1" x14ac:dyDescent="0.4">
      <c r="A107" t="s">
        <v>2000</v>
      </c>
    </row>
    <row r="108" spans="1:1" x14ac:dyDescent="0.4">
      <c r="A108" t="s">
        <v>1965</v>
      </c>
    </row>
    <row r="110" spans="1:1" x14ac:dyDescent="0.4">
      <c r="A110" t="s">
        <v>2001</v>
      </c>
    </row>
    <row r="111" spans="1:1" x14ac:dyDescent="0.4">
      <c r="A111" t="s">
        <v>2002</v>
      </c>
    </row>
    <row r="112" spans="1:1" x14ac:dyDescent="0.4">
      <c r="A112" t="s">
        <v>2003</v>
      </c>
    </row>
    <row r="113" spans="1:1" x14ac:dyDescent="0.4">
      <c r="A113" t="s">
        <v>1999</v>
      </c>
    </row>
    <row r="114" spans="1:1" x14ac:dyDescent="0.4">
      <c r="A114" t="s">
        <v>2004</v>
      </c>
    </row>
    <row r="115" spans="1:1" x14ac:dyDescent="0.4">
      <c r="A115" t="s">
        <v>1965</v>
      </c>
    </row>
    <row r="117" spans="1:1" x14ac:dyDescent="0.4">
      <c r="A117" t="s">
        <v>2005</v>
      </c>
    </row>
    <row r="118" spans="1:1" x14ac:dyDescent="0.4">
      <c r="A118" t="s">
        <v>2006</v>
      </c>
    </row>
    <row r="119" spans="1:1" x14ac:dyDescent="0.4">
      <c r="A119" t="s">
        <v>2007</v>
      </c>
    </row>
    <row r="120" spans="1:1" x14ac:dyDescent="0.4">
      <c r="A120" t="s">
        <v>1999</v>
      </c>
    </row>
    <row r="121" spans="1:1" x14ac:dyDescent="0.4">
      <c r="A121" t="s">
        <v>2008</v>
      </c>
    </row>
    <row r="122" spans="1:1" x14ac:dyDescent="0.4">
      <c r="A122" t="s">
        <v>1965</v>
      </c>
    </row>
    <row r="124" spans="1:1" x14ac:dyDescent="0.4">
      <c r="A124" t="s">
        <v>2009</v>
      </c>
    </row>
    <row r="125" spans="1:1" x14ac:dyDescent="0.4">
      <c r="A125" t="s">
        <v>2010</v>
      </c>
    </row>
    <row r="126" spans="1:1" x14ac:dyDescent="0.4">
      <c r="A126" t="s">
        <v>2011</v>
      </c>
    </row>
    <row r="127" spans="1:1" x14ac:dyDescent="0.4">
      <c r="A127" t="s">
        <v>1999</v>
      </c>
    </row>
    <row r="128" spans="1:1" x14ac:dyDescent="0.4">
      <c r="A128" t="s">
        <v>2012</v>
      </c>
    </row>
    <row r="129" spans="1:1" x14ac:dyDescent="0.4">
      <c r="A129" t="s">
        <v>1965</v>
      </c>
    </row>
    <row r="131" spans="1:1" x14ac:dyDescent="0.4">
      <c r="A131" t="s">
        <v>2013</v>
      </c>
    </row>
    <row r="132" spans="1:1" x14ac:dyDescent="0.4">
      <c r="A132" t="s">
        <v>2014</v>
      </c>
    </row>
    <row r="133" spans="1:1" x14ac:dyDescent="0.4">
      <c r="A133" t="s">
        <v>2015</v>
      </c>
    </row>
    <row r="134" spans="1:1" x14ac:dyDescent="0.4">
      <c r="A134" t="s">
        <v>2016</v>
      </c>
    </row>
    <row r="135" spans="1:1" x14ac:dyDescent="0.4">
      <c r="A135" t="s">
        <v>2017</v>
      </c>
    </row>
    <row r="137" spans="1:1" x14ac:dyDescent="0.4">
      <c r="A137" t="s">
        <v>2018</v>
      </c>
    </row>
    <row r="138" spans="1:1" x14ac:dyDescent="0.4">
      <c r="A138" t="s">
        <v>1997</v>
      </c>
    </row>
    <row r="139" spans="1:1" x14ac:dyDescent="0.4">
      <c r="A139" t="s">
        <v>1998</v>
      </c>
    </row>
    <row r="140" spans="1:1" x14ac:dyDescent="0.4">
      <c r="A140" t="s">
        <v>1999</v>
      </c>
    </row>
    <row r="141" spans="1:1" x14ac:dyDescent="0.4">
      <c r="A141" t="s">
        <v>2019</v>
      </c>
    </row>
    <row r="142" spans="1:1" x14ac:dyDescent="0.4">
      <c r="A142" t="s">
        <v>2020</v>
      </c>
    </row>
    <row r="144" spans="1:1" x14ac:dyDescent="0.4">
      <c r="A144" t="s">
        <v>2021</v>
      </c>
    </row>
    <row r="145" spans="1:1" x14ac:dyDescent="0.4">
      <c r="A145" t="s">
        <v>2002</v>
      </c>
    </row>
    <row r="146" spans="1:1" x14ac:dyDescent="0.4">
      <c r="A146" t="s">
        <v>2003</v>
      </c>
    </row>
    <row r="147" spans="1:1" x14ac:dyDescent="0.4">
      <c r="A147" t="s">
        <v>1999</v>
      </c>
    </row>
    <row r="148" spans="1:1" x14ac:dyDescent="0.4">
      <c r="A148" t="s">
        <v>2022</v>
      </c>
    </row>
    <row r="149" spans="1:1" x14ac:dyDescent="0.4">
      <c r="A149" t="s">
        <v>2020</v>
      </c>
    </row>
    <row r="151" spans="1:1" x14ac:dyDescent="0.4">
      <c r="A151" t="s">
        <v>2023</v>
      </c>
    </row>
    <row r="152" spans="1:1" x14ac:dyDescent="0.4">
      <c r="A152" t="s">
        <v>2006</v>
      </c>
    </row>
    <row r="153" spans="1:1" x14ac:dyDescent="0.4">
      <c r="A153" t="s">
        <v>2007</v>
      </c>
    </row>
    <row r="154" spans="1:1" x14ac:dyDescent="0.4">
      <c r="A154" t="s">
        <v>1999</v>
      </c>
    </row>
    <row r="155" spans="1:1" x14ac:dyDescent="0.4">
      <c r="A155" t="s">
        <v>2024</v>
      </c>
    </row>
    <row r="156" spans="1:1" x14ac:dyDescent="0.4">
      <c r="A156" t="s">
        <v>2020</v>
      </c>
    </row>
    <row r="158" spans="1:1" x14ac:dyDescent="0.4">
      <c r="A158" t="s">
        <v>2025</v>
      </c>
    </row>
    <row r="159" spans="1:1" x14ac:dyDescent="0.4">
      <c r="A159" t="s">
        <v>2010</v>
      </c>
    </row>
    <row r="160" spans="1:1" x14ac:dyDescent="0.4">
      <c r="A160" t="s">
        <v>2011</v>
      </c>
    </row>
    <row r="161" spans="1:1" x14ac:dyDescent="0.4">
      <c r="A161" t="s">
        <v>1999</v>
      </c>
    </row>
    <row r="162" spans="1:1" x14ac:dyDescent="0.4">
      <c r="A162" t="s">
        <v>2026</v>
      </c>
    </row>
    <row r="163" spans="1:1" x14ac:dyDescent="0.4">
      <c r="A163" t="s">
        <v>2020</v>
      </c>
    </row>
    <row r="165" spans="1:1" x14ac:dyDescent="0.4">
      <c r="A165" t="s">
        <v>2027</v>
      </c>
    </row>
    <row r="166" spans="1:1" x14ac:dyDescent="0.4">
      <c r="A166" t="s">
        <v>2028</v>
      </c>
    </row>
    <row r="167" spans="1:1" x14ac:dyDescent="0.4">
      <c r="A167" t="s">
        <v>2029</v>
      </c>
    </row>
    <row r="168" spans="1:1" x14ac:dyDescent="0.4">
      <c r="A168" t="s">
        <v>1980</v>
      </c>
    </row>
    <row r="169" spans="1:1" x14ac:dyDescent="0.4">
      <c r="A169" t="s">
        <v>2030</v>
      </c>
    </row>
    <row r="170" spans="1:1" x14ac:dyDescent="0.4">
      <c r="A170" t="s">
        <v>1965</v>
      </c>
    </row>
    <row r="172" spans="1:1" x14ac:dyDescent="0.4">
      <c r="A172" t="s">
        <v>2031</v>
      </c>
    </row>
    <row r="173" spans="1:1" x14ac:dyDescent="0.4">
      <c r="A173" t="s">
        <v>2032</v>
      </c>
    </row>
    <row r="174" spans="1:1" x14ac:dyDescent="0.4">
      <c r="A174" t="s">
        <v>2033</v>
      </c>
    </row>
    <row r="175" spans="1:1" x14ac:dyDescent="0.4">
      <c r="A175" t="s">
        <v>2034</v>
      </c>
    </row>
    <row r="176" spans="1:1" x14ac:dyDescent="0.4">
      <c r="A176" t="s">
        <v>2035</v>
      </c>
    </row>
    <row r="177" spans="1:1" x14ac:dyDescent="0.4">
      <c r="A177" t="s">
        <v>1965</v>
      </c>
    </row>
    <row r="179" spans="1:1" x14ac:dyDescent="0.4">
      <c r="A179" t="s">
        <v>2036</v>
      </c>
    </row>
    <row r="180" spans="1:1" x14ac:dyDescent="0.4">
      <c r="A180" t="s">
        <v>2037</v>
      </c>
    </row>
    <row r="181" spans="1:1" x14ac:dyDescent="0.4">
      <c r="A181" t="s">
        <v>2038</v>
      </c>
    </row>
    <row r="182" spans="1:1" x14ac:dyDescent="0.4">
      <c r="A182" t="s">
        <v>2039</v>
      </c>
    </row>
    <row r="183" spans="1:1" x14ac:dyDescent="0.4">
      <c r="A183" t="s">
        <v>2040</v>
      </c>
    </row>
    <row r="185" spans="1:1" x14ac:dyDescent="0.4">
      <c r="A185" t="s">
        <v>2041</v>
      </c>
    </row>
    <row r="186" spans="1:1" x14ac:dyDescent="0.4">
      <c r="A186" t="s">
        <v>2037</v>
      </c>
    </row>
    <row r="187" spans="1:1" x14ac:dyDescent="0.4">
      <c r="A187" t="s">
        <v>2038</v>
      </c>
    </row>
    <row r="188" spans="1:1" x14ac:dyDescent="0.4">
      <c r="A188" t="s">
        <v>2039</v>
      </c>
    </row>
    <row r="189" spans="1:1" x14ac:dyDescent="0.4">
      <c r="A189" t="s">
        <v>2042</v>
      </c>
    </row>
    <row r="191" spans="1:1" x14ac:dyDescent="0.4">
      <c r="A191" t="s">
        <v>2043</v>
      </c>
    </row>
    <row r="192" spans="1:1" x14ac:dyDescent="0.4">
      <c r="A192" t="s">
        <v>2037</v>
      </c>
    </row>
    <row r="193" spans="1:1" x14ac:dyDescent="0.4">
      <c r="A193" t="s">
        <v>2038</v>
      </c>
    </row>
    <row r="194" spans="1:1" x14ac:dyDescent="0.4">
      <c r="A194" t="s">
        <v>2039</v>
      </c>
    </row>
    <row r="195" spans="1:1" x14ac:dyDescent="0.4">
      <c r="A195" t="s">
        <v>2044</v>
      </c>
    </row>
    <row r="197" spans="1:1" x14ac:dyDescent="0.4">
      <c r="A197" t="s">
        <v>2045</v>
      </c>
    </row>
    <row r="198" spans="1:1" x14ac:dyDescent="0.4">
      <c r="A198" t="s">
        <v>2046</v>
      </c>
    </row>
    <row r="199" spans="1:1" x14ac:dyDescent="0.4">
      <c r="A199" t="s">
        <v>2047</v>
      </c>
    </row>
    <row r="200" spans="1:1" x14ac:dyDescent="0.4">
      <c r="A200" t="s">
        <v>1970</v>
      </c>
    </row>
    <row r="201" spans="1:1" x14ac:dyDescent="0.4">
      <c r="A201" t="s">
        <v>2048</v>
      </c>
    </row>
    <row r="202" spans="1:1" x14ac:dyDescent="0.4">
      <c r="A202" t="s">
        <v>1965</v>
      </c>
    </row>
    <row r="204" spans="1:1" x14ac:dyDescent="0.4">
      <c r="A204" t="s">
        <v>2049</v>
      </c>
    </row>
    <row r="205" spans="1:1" x14ac:dyDescent="0.4">
      <c r="A205" t="s">
        <v>2050</v>
      </c>
    </row>
    <row r="206" spans="1:1" x14ac:dyDescent="0.4">
      <c r="A206" t="s">
        <v>2051</v>
      </c>
    </row>
    <row r="207" spans="1:1" x14ac:dyDescent="0.4">
      <c r="A207" t="s">
        <v>2052</v>
      </c>
    </row>
    <row r="208" spans="1:1" x14ac:dyDescent="0.4">
      <c r="A208" t="s">
        <v>2053</v>
      </c>
    </row>
    <row r="209" spans="1:1" x14ac:dyDescent="0.4">
      <c r="A209" t="s">
        <v>1965</v>
      </c>
    </row>
    <row r="210" spans="1:1" x14ac:dyDescent="0.4">
      <c r="A210" t="s">
        <v>2054</v>
      </c>
    </row>
    <row r="212" spans="1:1" x14ac:dyDescent="0.4">
      <c r="A212" t="s">
        <v>2055</v>
      </c>
    </row>
    <row r="213" spans="1:1" x14ac:dyDescent="0.4">
      <c r="A213" t="s">
        <v>1992</v>
      </c>
    </row>
    <row r="214" spans="1:1" x14ac:dyDescent="0.4">
      <c r="A214" t="s">
        <v>1993</v>
      </c>
    </row>
    <row r="215" spans="1:1" x14ac:dyDescent="0.4">
      <c r="A215" t="s">
        <v>1994</v>
      </c>
    </row>
    <row r="216" spans="1:1" x14ac:dyDescent="0.4">
      <c r="A216" t="s">
        <v>2056</v>
      </c>
    </row>
    <row r="218" spans="1:1" x14ac:dyDescent="0.4">
      <c r="A218" t="s">
        <v>2057</v>
      </c>
    </row>
    <row r="219" spans="1:1" x14ac:dyDescent="0.4">
      <c r="A219" t="s">
        <v>2058</v>
      </c>
    </row>
    <row r="220" spans="1:1" x14ac:dyDescent="0.4">
      <c r="A220" t="s">
        <v>2059</v>
      </c>
    </row>
    <row r="221" spans="1:1" x14ac:dyDescent="0.4">
      <c r="A221" t="s">
        <v>2060</v>
      </c>
    </row>
    <row r="222" spans="1:1" x14ac:dyDescent="0.4">
      <c r="A222" t="s">
        <v>2061</v>
      </c>
    </row>
    <row r="223" spans="1:1" x14ac:dyDescent="0.4">
      <c r="A223" t="s">
        <v>2062</v>
      </c>
    </row>
    <row r="224" spans="1:1" x14ac:dyDescent="0.4">
      <c r="A224" t="s">
        <v>1965</v>
      </c>
    </row>
    <row r="226" spans="1:1" x14ac:dyDescent="0.4">
      <c r="A226" t="s">
        <v>2063</v>
      </c>
    </row>
    <row r="227" spans="1:1" x14ac:dyDescent="0.4">
      <c r="A227" t="s">
        <v>1959</v>
      </c>
    </row>
    <row r="228" spans="1:1" x14ac:dyDescent="0.4">
      <c r="A228" t="s">
        <v>1960</v>
      </c>
    </row>
    <row r="229" spans="1:1" x14ac:dyDescent="0.4">
      <c r="A229" t="s">
        <v>1961</v>
      </c>
    </row>
    <row r="230" spans="1:1" x14ac:dyDescent="0.4">
      <c r="A230" t="s">
        <v>2064</v>
      </c>
    </row>
    <row r="231" spans="1:1" x14ac:dyDescent="0.4">
      <c r="A231" t="s">
        <v>2065</v>
      </c>
    </row>
    <row r="232" spans="1:1" x14ac:dyDescent="0.4">
      <c r="A232" t="s">
        <v>2066</v>
      </c>
    </row>
    <row r="233" spans="1:1" x14ac:dyDescent="0.4">
      <c r="A233" t="s">
        <v>1965</v>
      </c>
    </row>
    <row r="234" spans="1:1" x14ac:dyDescent="0.4">
      <c r="A234" t="s">
        <v>1966</v>
      </c>
    </row>
    <row r="236" spans="1:1" x14ac:dyDescent="0.4">
      <c r="A236" t="s">
        <v>2067</v>
      </c>
    </row>
    <row r="237" spans="1:1" x14ac:dyDescent="0.4">
      <c r="A237" t="s">
        <v>1959</v>
      </c>
    </row>
    <row r="238" spans="1:1" x14ac:dyDescent="0.4">
      <c r="A238" t="s">
        <v>1960</v>
      </c>
    </row>
    <row r="239" spans="1:1" x14ac:dyDescent="0.4">
      <c r="A239" t="s">
        <v>1961</v>
      </c>
    </row>
    <row r="240" spans="1:1" x14ac:dyDescent="0.4">
      <c r="A240" t="s">
        <v>2068</v>
      </c>
    </row>
    <row r="241" spans="1:1" x14ac:dyDescent="0.4">
      <c r="A241" t="s">
        <v>2065</v>
      </c>
    </row>
    <row r="242" spans="1:1" x14ac:dyDescent="0.4">
      <c r="A242" t="s">
        <v>2066</v>
      </c>
    </row>
    <row r="243" spans="1:1" x14ac:dyDescent="0.4">
      <c r="A243" t="s">
        <v>1965</v>
      </c>
    </row>
    <row r="244" spans="1:1" x14ac:dyDescent="0.4">
      <c r="A244" t="s">
        <v>1966</v>
      </c>
    </row>
    <row r="246" spans="1:1" x14ac:dyDescent="0.4">
      <c r="A246" t="s">
        <v>2069</v>
      </c>
    </row>
    <row r="247" spans="1:1" x14ac:dyDescent="0.4">
      <c r="A247" t="s">
        <v>1959</v>
      </c>
    </row>
    <row r="248" spans="1:1" x14ac:dyDescent="0.4">
      <c r="A248" t="s">
        <v>1960</v>
      </c>
    </row>
    <row r="249" spans="1:1" x14ac:dyDescent="0.4">
      <c r="A249" t="s">
        <v>1961</v>
      </c>
    </row>
    <row r="250" spans="1:1" x14ac:dyDescent="0.4">
      <c r="A250" t="s">
        <v>2070</v>
      </c>
    </row>
    <row r="251" spans="1:1" x14ac:dyDescent="0.4">
      <c r="A251" t="s">
        <v>2065</v>
      </c>
    </row>
    <row r="252" spans="1:1" x14ac:dyDescent="0.4">
      <c r="A252" t="s">
        <v>2066</v>
      </c>
    </row>
    <row r="253" spans="1:1" x14ac:dyDescent="0.4">
      <c r="A253" t="s">
        <v>1965</v>
      </c>
    </row>
    <row r="254" spans="1:1" x14ac:dyDescent="0.4">
      <c r="A254" t="s">
        <v>1966</v>
      </c>
    </row>
    <row r="256" spans="1:1" x14ac:dyDescent="0.4">
      <c r="A256" t="s">
        <v>2071</v>
      </c>
    </row>
    <row r="257" spans="1:1" x14ac:dyDescent="0.4">
      <c r="A257" t="s">
        <v>1959</v>
      </c>
    </row>
    <row r="258" spans="1:1" x14ac:dyDescent="0.4">
      <c r="A258" t="s">
        <v>1960</v>
      </c>
    </row>
    <row r="259" spans="1:1" x14ac:dyDescent="0.4">
      <c r="A259" t="s">
        <v>1961</v>
      </c>
    </row>
    <row r="260" spans="1:1" x14ac:dyDescent="0.4">
      <c r="A260" t="s">
        <v>2072</v>
      </c>
    </row>
    <row r="261" spans="1:1" x14ac:dyDescent="0.4">
      <c r="A261" t="s">
        <v>2065</v>
      </c>
    </row>
    <row r="262" spans="1:1" x14ac:dyDescent="0.4">
      <c r="A262" t="s">
        <v>2066</v>
      </c>
    </row>
    <row r="263" spans="1:1" x14ac:dyDescent="0.4">
      <c r="A263" t="s">
        <v>1965</v>
      </c>
    </row>
    <row r="264" spans="1:1" x14ac:dyDescent="0.4">
      <c r="A264" t="s">
        <v>1966</v>
      </c>
    </row>
    <row r="266" spans="1:1" x14ac:dyDescent="0.4">
      <c r="A266" t="s">
        <v>2073</v>
      </c>
    </row>
    <row r="267" spans="1:1" x14ac:dyDescent="0.4">
      <c r="A267" t="s">
        <v>1959</v>
      </c>
    </row>
    <row r="268" spans="1:1" x14ac:dyDescent="0.4">
      <c r="A268" t="s">
        <v>1960</v>
      </c>
    </row>
    <row r="269" spans="1:1" x14ac:dyDescent="0.4">
      <c r="A269" t="s">
        <v>1961</v>
      </c>
    </row>
    <row r="270" spans="1:1" x14ac:dyDescent="0.4">
      <c r="A270" t="s">
        <v>2074</v>
      </c>
    </row>
    <row r="271" spans="1:1" x14ac:dyDescent="0.4">
      <c r="A271" t="s">
        <v>2065</v>
      </c>
    </row>
    <row r="272" spans="1:1" x14ac:dyDescent="0.4">
      <c r="A272" t="s">
        <v>2066</v>
      </c>
    </row>
    <row r="273" spans="1:1" x14ac:dyDescent="0.4">
      <c r="A273" t="s">
        <v>1965</v>
      </c>
    </row>
    <row r="274" spans="1:1" x14ac:dyDescent="0.4">
      <c r="A274" t="s">
        <v>1966</v>
      </c>
    </row>
    <row r="276" spans="1:1" x14ac:dyDescent="0.4">
      <c r="A276" t="s">
        <v>2075</v>
      </c>
    </row>
    <row r="277" spans="1:1" x14ac:dyDescent="0.4">
      <c r="A277" t="s">
        <v>1959</v>
      </c>
    </row>
    <row r="278" spans="1:1" x14ac:dyDescent="0.4">
      <c r="A278" t="s">
        <v>1960</v>
      </c>
    </row>
    <row r="279" spans="1:1" x14ac:dyDescent="0.4">
      <c r="A279" t="s">
        <v>1961</v>
      </c>
    </row>
    <row r="280" spans="1:1" x14ac:dyDescent="0.4">
      <c r="A280" t="s">
        <v>2076</v>
      </c>
    </row>
    <row r="281" spans="1:1" x14ac:dyDescent="0.4">
      <c r="A281" t="s">
        <v>2065</v>
      </c>
    </row>
    <row r="282" spans="1:1" x14ac:dyDescent="0.4">
      <c r="A282" t="s">
        <v>2066</v>
      </c>
    </row>
    <row r="283" spans="1:1" x14ac:dyDescent="0.4">
      <c r="A283" t="s">
        <v>1965</v>
      </c>
    </row>
    <row r="284" spans="1:1" x14ac:dyDescent="0.4">
      <c r="A284" t="s">
        <v>1966</v>
      </c>
    </row>
    <row r="286" spans="1:1" x14ac:dyDescent="0.4">
      <c r="A286" t="s">
        <v>2077</v>
      </c>
    </row>
    <row r="287" spans="1:1" x14ac:dyDescent="0.4">
      <c r="A287" t="s">
        <v>1959</v>
      </c>
    </row>
    <row r="288" spans="1:1" x14ac:dyDescent="0.4">
      <c r="A288" t="s">
        <v>1960</v>
      </c>
    </row>
    <row r="289" spans="1:1" x14ac:dyDescent="0.4">
      <c r="A289" t="s">
        <v>1961</v>
      </c>
    </row>
    <row r="290" spans="1:1" x14ac:dyDescent="0.4">
      <c r="A290" t="s">
        <v>2078</v>
      </c>
    </row>
    <row r="291" spans="1:1" x14ac:dyDescent="0.4">
      <c r="A291" t="s">
        <v>2065</v>
      </c>
    </row>
    <row r="292" spans="1:1" x14ac:dyDescent="0.4">
      <c r="A292" t="s">
        <v>2066</v>
      </c>
    </row>
    <row r="293" spans="1:1" x14ac:dyDescent="0.4">
      <c r="A293" t="s">
        <v>1965</v>
      </c>
    </row>
    <row r="294" spans="1:1" x14ac:dyDescent="0.4">
      <c r="A294" t="s">
        <v>1966</v>
      </c>
    </row>
    <row r="296" spans="1:1" x14ac:dyDescent="0.4">
      <c r="A296" t="s">
        <v>2079</v>
      </c>
    </row>
    <row r="297" spans="1:1" x14ac:dyDescent="0.4">
      <c r="A297" t="s">
        <v>1959</v>
      </c>
    </row>
    <row r="298" spans="1:1" x14ac:dyDescent="0.4">
      <c r="A298" t="s">
        <v>1960</v>
      </c>
    </row>
    <row r="299" spans="1:1" x14ac:dyDescent="0.4">
      <c r="A299" t="s">
        <v>1961</v>
      </c>
    </row>
    <row r="300" spans="1:1" x14ac:dyDescent="0.4">
      <c r="A300" t="s">
        <v>2080</v>
      </c>
    </row>
    <row r="301" spans="1:1" x14ac:dyDescent="0.4">
      <c r="A301" t="s">
        <v>2065</v>
      </c>
    </row>
    <row r="302" spans="1:1" x14ac:dyDescent="0.4">
      <c r="A302" t="s">
        <v>2066</v>
      </c>
    </row>
    <row r="303" spans="1:1" x14ac:dyDescent="0.4">
      <c r="A303" t="s">
        <v>1965</v>
      </c>
    </row>
    <row r="304" spans="1:1" x14ac:dyDescent="0.4">
      <c r="A304" t="s">
        <v>1966</v>
      </c>
    </row>
    <row r="306" spans="1:1" x14ac:dyDescent="0.4">
      <c r="A306" t="s">
        <v>2081</v>
      </c>
    </row>
    <row r="307" spans="1:1" x14ac:dyDescent="0.4">
      <c r="A307" t="s">
        <v>1959</v>
      </c>
    </row>
    <row r="308" spans="1:1" x14ac:dyDescent="0.4">
      <c r="A308" t="s">
        <v>1960</v>
      </c>
    </row>
    <row r="309" spans="1:1" x14ac:dyDescent="0.4">
      <c r="A309" t="s">
        <v>1961</v>
      </c>
    </row>
    <row r="310" spans="1:1" x14ac:dyDescent="0.4">
      <c r="A310" t="s">
        <v>2082</v>
      </c>
    </row>
    <row r="311" spans="1:1" x14ac:dyDescent="0.4">
      <c r="A311" t="s">
        <v>2065</v>
      </c>
    </row>
    <row r="312" spans="1:1" x14ac:dyDescent="0.4">
      <c r="A312" t="s">
        <v>2066</v>
      </c>
    </row>
    <row r="313" spans="1:1" x14ac:dyDescent="0.4">
      <c r="A313" t="s">
        <v>1965</v>
      </c>
    </row>
    <row r="314" spans="1:1" x14ac:dyDescent="0.4">
      <c r="A314" t="s">
        <v>1966</v>
      </c>
    </row>
    <row r="316" spans="1:1" x14ac:dyDescent="0.4">
      <c r="A316" t="s">
        <v>2083</v>
      </c>
    </row>
    <row r="317" spans="1:1" x14ac:dyDescent="0.4">
      <c r="A317" t="s">
        <v>2084</v>
      </c>
    </row>
    <row r="318" spans="1:1" x14ac:dyDescent="0.4">
      <c r="A318" t="s">
        <v>2085</v>
      </c>
    </row>
    <row r="319" spans="1:1" x14ac:dyDescent="0.4">
      <c r="A319" t="s">
        <v>2086</v>
      </c>
    </row>
    <row r="320" spans="1:1" x14ac:dyDescent="0.4">
      <c r="A320" t="s">
        <v>2087</v>
      </c>
    </row>
    <row r="321" spans="1:1" x14ac:dyDescent="0.4">
      <c r="A321" t="s">
        <v>1965</v>
      </c>
    </row>
    <row r="322" spans="1:1" x14ac:dyDescent="0.4">
      <c r="A322" t="s">
        <v>2088</v>
      </c>
    </row>
    <row r="324" spans="1:1" x14ac:dyDescent="0.4">
      <c r="A324" t="s">
        <v>2089</v>
      </c>
    </row>
    <row r="325" spans="1:1" x14ac:dyDescent="0.4">
      <c r="A325" t="s">
        <v>2090</v>
      </c>
    </row>
    <row r="326" spans="1:1" x14ac:dyDescent="0.4">
      <c r="A326" t="s">
        <v>2091</v>
      </c>
    </row>
    <row r="327" spans="1:1" x14ac:dyDescent="0.4">
      <c r="A327" t="s">
        <v>1975</v>
      </c>
    </row>
    <row r="328" spans="1:1" x14ac:dyDescent="0.4">
      <c r="A328" t="s">
        <v>2092</v>
      </c>
    </row>
    <row r="329" spans="1:1" x14ac:dyDescent="0.4">
      <c r="A329" t="s">
        <v>2093</v>
      </c>
    </row>
    <row r="330" spans="1:1" x14ac:dyDescent="0.4">
      <c r="A330" t="s">
        <v>1965</v>
      </c>
    </row>
    <row r="331" spans="1:1" x14ac:dyDescent="0.4">
      <c r="A331" t="s">
        <v>1966</v>
      </c>
    </row>
    <row r="333" spans="1:1" x14ac:dyDescent="0.4">
      <c r="A333" t="s">
        <v>2094</v>
      </c>
    </row>
    <row r="334" spans="1:1" x14ac:dyDescent="0.4">
      <c r="A334" t="s">
        <v>2095</v>
      </c>
    </row>
    <row r="335" spans="1:1" x14ac:dyDescent="0.4">
      <c r="A335" t="s">
        <v>2096</v>
      </c>
    </row>
    <row r="336" spans="1:1" x14ac:dyDescent="0.4">
      <c r="A336" t="s">
        <v>1961</v>
      </c>
    </row>
    <row r="337" spans="1:1" x14ac:dyDescent="0.4">
      <c r="A337" t="s">
        <v>2097</v>
      </c>
    </row>
    <row r="338" spans="1:1" x14ac:dyDescent="0.4">
      <c r="A338" t="s">
        <v>2098</v>
      </c>
    </row>
    <row r="339" spans="1:1" x14ac:dyDescent="0.4">
      <c r="A339" t="s">
        <v>2099</v>
      </c>
    </row>
    <row r="340" spans="1:1" x14ac:dyDescent="0.4">
      <c r="A340" t="s">
        <v>1965</v>
      </c>
    </row>
    <row r="341" spans="1:1" x14ac:dyDescent="0.4">
      <c r="A341" t="s">
        <v>1966</v>
      </c>
    </row>
    <row r="343" spans="1:1" x14ac:dyDescent="0.4">
      <c r="A343" t="s">
        <v>2100</v>
      </c>
    </row>
    <row r="344" spans="1:1" x14ac:dyDescent="0.4">
      <c r="A344" t="s">
        <v>2090</v>
      </c>
    </row>
    <row r="345" spans="1:1" x14ac:dyDescent="0.4">
      <c r="A345" t="s">
        <v>2091</v>
      </c>
    </row>
    <row r="346" spans="1:1" x14ac:dyDescent="0.4">
      <c r="A346" t="s">
        <v>1975</v>
      </c>
    </row>
    <row r="347" spans="1:1" x14ac:dyDescent="0.4">
      <c r="A347" t="s">
        <v>2101</v>
      </c>
    </row>
    <row r="348" spans="1:1" x14ac:dyDescent="0.4">
      <c r="A348" t="s">
        <v>2102</v>
      </c>
    </row>
    <row r="349" spans="1:1" x14ac:dyDescent="0.4">
      <c r="A349" t="s">
        <v>1990</v>
      </c>
    </row>
    <row r="350" spans="1:1" x14ac:dyDescent="0.4">
      <c r="A350" t="s">
        <v>1966</v>
      </c>
    </row>
    <row r="352" spans="1:1" x14ac:dyDescent="0.4">
      <c r="A352" t="s">
        <v>2103</v>
      </c>
    </row>
    <row r="353" spans="1:1" x14ac:dyDescent="0.4">
      <c r="A353" t="s">
        <v>2104</v>
      </c>
    </row>
    <row r="354" spans="1:1" x14ac:dyDescent="0.4">
      <c r="A354" t="s">
        <v>2105</v>
      </c>
    </row>
    <row r="355" spans="1:1" x14ac:dyDescent="0.4">
      <c r="A355" t="s">
        <v>2106</v>
      </c>
    </row>
    <row r="356" spans="1:1" x14ac:dyDescent="0.4">
      <c r="A356" t="s">
        <v>2107</v>
      </c>
    </row>
    <row r="357" spans="1:1" x14ac:dyDescent="0.4">
      <c r="A357" t="s">
        <v>1965</v>
      </c>
    </row>
    <row r="359" spans="1:1" x14ac:dyDescent="0.4">
      <c r="A359" t="s">
        <v>2108</v>
      </c>
    </row>
    <row r="360" spans="1:1" x14ac:dyDescent="0.4">
      <c r="A360" t="s">
        <v>2109</v>
      </c>
    </row>
    <row r="361" spans="1:1" x14ac:dyDescent="0.4">
      <c r="A361" t="s">
        <v>2110</v>
      </c>
    </row>
    <row r="362" spans="1:1" x14ac:dyDescent="0.4">
      <c r="A362" t="s">
        <v>2106</v>
      </c>
    </row>
    <row r="363" spans="1:1" x14ac:dyDescent="0.4">
      <c r="A363" t="s">
        <v>2111</v>
      </c>
    </row>
    <row r="364" spans="1:1" x14ac:dyDescent="0.4">
      <c r="A364" t="s">
        <v>1965</v>
      </c>
    </row>
    <row r="366" spans="1:1" x14ac:dyDescent="0.4">
      <c r="A366" t="s">
        <v>2112</v>
      </c>
    </row>
    <row r="367" spans="1:1" x14ac:dyDescent="0.4">
      <c r="A367" t="s">
        <v>2113</v>
      </c>
    </row>
    <row r="368" spans="1:1" x14ac:dyDescent="0.4">
      <c r="A368" t="s">
        <v>2114</v>
      </c>
    </row>
    <row r="369" spans="1:1" x14ac:dyDescent="0.4">
      <c r="A369" t="s">
        <v>2106</v>
      </c>
    </row>
    <row r="370" spans="1:1" x14ac:dyDescent="0.4">
      <c r="A370" t="s">
        <v>2115</v>
      </c>
    </row>
    <row r="371" spans="1:1" x14ac:dyDescent="0.4">
      <c r="A371" t="s">
        <v>1965</v>
      </c>
    </row>
    <row r="373" spans="1:1" x14ac:dyDescent="0.4">
      <c r="A373" t="s">
        <v>2116</v>
      </c>
    </row>
    <row r="374" spans="1:1" x14ac:dyDescent="0.4">
      <c r="A374" t="s">
        <v>2117</v>
      </c>
    </row>
    <row r="375" spans="1:1" x14ac:dyDescent="0.4">
      <c r="A375" t="s">
        <v>2118</v>
      </c>
    </row>
    <row r="376" spans="1:1" x14ac:dyDescent="0.4">
      <c r="A376" t="s">
        <v>2119</v>
      </c>
    </row>
    <row r="377" spans="1:1" x14ac:dyDescent="0.4">
      <c r="A377" t="s">
        <v>2120</v>
      </c>
    </row>
    <row r="378" spans="1:1" x14ac:dyDescent="0.4">
      <c r="A378" t="s">
        <v>1965</v>
      </c>
    </row>
    <row r="379" spans="1:1" x14ac:dyDescent="0.4">
      <c r="A379" t="s">
        <v>2121</v>
      </c>
    </row>
    <row r="381" spans="1:1" x14ac:dyDescent="0.4">
      <c r="A381" t="s">
        <v>2122</v>
      </c>
    </row>
    <row r="382" spans="1:1" x14ac:dyDescent="0.4">
      <c r="A382" t="s">
        <v>2117</v>
      </c>
    </row>
    <row r="383" spans="1:1" x14ac:dyDescent="0.4">
      <c r="A383" t="s">
        <v>2118</v>
      </c>
    </row>
    <row r="384" spans="1:1" x14ac:dyDescent="0.4">
      <c r="A384" t="s">
        <v>2119</v>
      </c>
    </row>
    <row r="385" spans="1:1" x14ac:dyDescent="0.4">
      <c r="A385" t="s">
        <v>2123</v>
      </c>
    </row>
    <row r="386" spans="1:1" x14ac:dyDescent="0.4">
      <c r="A386" t="s">
        <v>1965</v>
      </c>
    </row>
    <row r="387" spans="1:1" x14ac:dyDescent="0.4">
      <c r="A387" t="s">
        <v>2121</v>
      </c>
    </row>
    <row r="389" spans="1:1" x14ac:dyDescent="0.4">
      <c r="A389" t="s">
        <v>2124</v>
      </c>
    </row>
    <row r="390" spans="1:1" x14ac:dyDescent="0.4">
      <c r="A390" t="s">
        <v>2117</v>
      </c>
    </row>
    <row r="391" spans="1:1" x14ac:dyDescent="0.4">
      <c r="A391" t="s">
        <v>2118</v>
      </c>
    </row>
    <row r="392" spans="1:1" x14ac:dyDescent="0.4">
      <c r="A392" t="s">
        <v>2119</v>
      </c>
    </row>
    <row r="393" spans="1:1" x14ac:dyDescent="0.4">
      <c r="A393" t="s">
        <v>2125</v>
      </c>
    </row>
    <row r="394" spans="1:1" x14ac:dyDescent="0.4">
      <c r="A394" t="s">
        <v>1965</v>
      </c>
    </row>
    <row r="395" spans="1:1" x14ac:dyDescent="0.4">
      <c r="A395" t="s">
        <v>2121</v>
      </c>
    </row>
    <row r="397" spans="1:1" x14ac:dyDescent="0.4">
      <c r="A397" t="s">
        <v>2126</v>
      </c>
    </row>
    <row r="398" spans="1:1" x14ac:dyDescent="0.4">
      <c r="A398" t="s">
        <v>2117</v>
      </c>
    </row>
    <row r="399" spans="1:1" x14ac:dyDescent="0.4">
      <c r="A399" t="s">
        <v>2118</v>
      </c>
    </row>
    <row r="400" spans="1:1" x14ac:dyDescent="0.4">
      <c r="A400" t="s">
        <v>2119</v>
      </c>
    </row>
    <row r="401" spans="1:1" x14ac:dyDescent="0.4">
      <c r="A401" t="s">
        <v>2127</v>
      </c>
    </row>
    <row r="402" spans="1:1" x14ac:dyDescent="0.4">
      <c r="A402" t="s">
        <v>1965</v>
      </c>
    </row>
    <row r="403" spans="1:1" x14ac:dyDescent="0.4">
      <c r="A403" t="s">
        <v>2121</v>
      </c>
    </row>
    <row r="405" spans="1:1" x14ac:dyDescent="0.4">
      <c r="A405" t="s">
        <v>2128</v>
      </c>
    </row>
    <row r="406" spans="1:1" x14ac:dyDescent="0.4">
      <c r="A406" t="s">
        <v>2117</v>
      </c>
    </row>
    <row r="407" spans="1:1" x14ac:dyDescent="0.4">
      <c r="A407" t="s">
        <v>2118</v>
      </c>
    </row>
    <row r="408" spans="1:1" x14ac:dyDescent="0.4">
      <c r="A408" t="s">
        <v>2119</v>
      </c>
    </row>
    <row r="409" spans="1:1" x14ac:dyDescent="0.4">
      <c r="A409" t="s">
        <v>2129</v>
      </c>
    </row>
    <row r="410" spans="1:1" x14ac:dyDescent="0.4">
      <c r="A410" t="s">
        <v>1965</v>
      </c>
    </row>
    <row r="411" spans="1:1" x14ac:dyDescent="0.4">
      <c r="A411" t="s">
        <v>2121</v>
      </c>
    </row>
    <row r="413" spans="1:1" x14ac:dyDescent="0.4">
      <c r="A413" t="s">
        <v>2130</v>
      </c>
    </row>
    <row r="414" spans="1:1" x14ac:dyDescent="0.4">
      <c r="A414" t="s">
        <v>2117</v>
      </c>
    </row>
    <row r="415" spans="1:1" x14ac:dyDescent="0.4">
      <c r="A415" t="s">
        <v>2118</v>
      </c>
    </row>
    <row r="416" spans="1:1" x14ac:dyDescent="0.4">
      <c r="A416" t="s">
        <v>2119</v>
      </c>
    </row>
    <row r="417" spans="1:1" x14ac:dyDescent="0.4">
      <c r="A417" t="s">
        <v>2131</v>
      </c>
    </row>
    <row r="418" spans="1:1" x14ac:dyDescent="0.4">
      <c r="A418" t="s">
        <v>1965</v>
      </c>
    </row>
    <row r="419" spans="1:1" x14ac:dyDescent="0.4">
      <c r="A419" t="s">
        <v>2121</v>
      </c>
    </row>
    <row r="421" spans="1:1" x14ac:dyDescent="0.4">
      <c r="A421" t="s">
        <v>2132</v>
      </c>
    </row>
    <row r="422" spans="1:1" x14ac:dyDescent="0.4">
      <c r="A422" t="s">
        <v>2117</v>
      </c>
    </row>
    <row r="423" spans="1:1" x14ac:dyDescent="0.4">
      <c r="A423" t="s">
        <v>2118</v>
      </c>
    </row>
    <row r="424" spans="1:1" x14ac:dyDescent="0.4">
      <c r="A424" t="s">
        <v>2119</v>
      </c>
    </row>
    <row r="425" spans="1:1" x14ac:dyDescent="0.4">
      <c r="A425" t="s">
        <v>2133</v>
      </c>
    </row>
    <row r="426" spans="1:1" x14ac:dyDescent="0.4">
      <c r="A426" t="s">
        <v>1965</v>
      </c>
    </row>
    <row r="427" spans="1:1" x14ac:dyDescent="0.4">
      <c r="A427" t="s">
        <v>2121</v>
      </c>
    </row>
    <row r="429" spans="1:1" x14ac:dyDescent="0.4">
      <c r="A429" t="s">
        <v>2134</v>
      </c>
    </row>
    <row r="430" spans="1:1" x14ac:dyDescent="0.4">
      <c r="A430" t="s">
        <v>2117</v>
      </c>
    </row>
    <row r="431" spans="1:1" x14ac:dyDescent="0.4">
      <c r="A431" t="s">
        <v>2118</v>
      </c>
    </row>
    <row r="432" spans="1:1" x14ac:dyDescent="0.4">
      <c r="A432" t="s">
        <v>2119</v>
      </c>
    </row>
    <row r="433" spans="1:1" x14ac:dyDescent="0.4">
      <c r="A433" t="s">
        <v>2135</v>
      </c>
    </row>
    <row r="434" spans="1:1" x14ac:dyDescent="0.4">
      <c r="A434" t="s">
        <v>1965</v>
      </c>
    </row>
    <row r="435" spans="1:1" x14ac:dyDescent="0.4">
      <c r="A435" t="s">
        <v>2121</v>
      </c>
    </row>
    <row r="437" spans="1:1" x14ac:dyDescent="0.4">
      <c r="A437" t="s">
        <v>2136</v>
      </c>
    </row>
    <row r="438" spans="1:1" x14ac:dyDescent="0.4">
      <c r="A438" t="s">
        <v>2117</v>
      </c>
    </row>
    <row r="439" spans="1:1" x14ac:dyDescent="0.4">
      <c r="A439" t="s">
        <v>2118</v>
      </c>
    </row>
    <row r="440" spans="1:1" x14ac:dyDescent="0.4">
      <c r="A440" t="s">
        <v>2119</v>
      </c>
    </row>
    <row r="441" spans="1:1" x14ac:dyDescent="0.4">
      <c r="A441" t="s">
        <v>2137</v>
      </c>
    </row>
    <row r="442" spans="1:1" x14ac:dyDescent="0.4">
      <c r="A442" t="s">
        <v>1965</v>
      </c>
    </row>
    <row r="443" spans="1:1" x14ac:dyDescent="0.4">
      <c r="A443" t="s">
        <v>2121</v>
      </c>
    </row>
    <row r="445" spans="1:1" x14ac:dyDescent="0.4">
      <c r="A445" t="s">
        <v>2138</v>
      </c>
    </row>
    <row r="446" spans="1:1" x14ac:dyDescent="0.4">
      <c r="A446" t="s">
        <v>2117</v>
      </c>
    </row>
    <row r="447" spans="1:1" x14ac:dyDescent="0.4">
      <c r="A447" t="s">
        <v>2118</v>
      </c>
    </row>
    <row r="448" spans="1:1" x14ac:dyDescent="0.4">
      <c r="A448" t="s">
        <v>2119</v>
      </c>
    </row>
    <row r="449" spans="1:1" x14ac:dyDescent="0.4">
      <c r="A449" t="s">
        <v>2139</v>
      </c>
    </row>
    <row r="450" spans="1:1" x14ac:dyDescent="0.4">
      <c r="A450" t="s">
        <v>1965</v>
      </c>
    </row>
    <row r="451" spans="1:1" x14ac:dyDescent="0.4">
      <c r="A451" t="s">
        <v>2121</v>
      </c>
    </row>
    <row r="453" spans="1:1" x14ac:dyDescent="0.4">
      <c r="A453" t="s">
        <v>2140</v>
      </c>
    </row>
    <row r="454" spans="1:1" x14ac:dyDescent="0.4">
      <c r="A454" t="s">
        <v>2141</v>
      </c>
    </row>
    <row r="455" spans="1:1" x14ac:dyDescent="0.4">
      <c r="A455" t="s">
        <v>2142</v>
      </c>
    </row>
    <row r="456" spans="1:1" x14ac:dyDescent="0.4">
      <c r="A456" t="s">
        <v>1961</v>
      </c>
    </row>
    <row r="457" spans="1:1" x14ac:dyDescent="0.4">
      <c r="A457" t="s">
        <v>1962</v>
      </c>
    </row>
    <row r="458" spans="1:1" x14ac:dyDescent="0.4">
      <c r="A458" t="s">
        <v>2143</v>
      </c>
    </row>
    <row r="459" spans="1:1" x14ac:dyDescent="0.4">
      <c r="A459" t="s">
        <v>2144</v>
      </c>
    </row>
    <row r="460" spans="1:1" x14ac:dyDescent="0.4">
      <c r="A460" t="s">
        <v>1965</v>
      </c>
    </row>
    <row r="461" spans="1:1" x14ac:dyDescent="0.4">
      <c r="A461" t="s">
        <v>1966</v>
      </c>
    </row>
    <row r="463" spans="1:1" x14ac:dyDescent="0.4">
      <c r="A463" t="s">
        <v>2145</v>
      </c>
    </row>
    <row r="464" spans="1:1" x14ac:dyDescent="0.4">
      <c r="A464" t="s">
        <v>2141</v>
      </c>
    </row>
    <row r="465" spans="1:1" x14ac:dyDescent="0.4">
      <c r="A465" t="s">
        <v>2142</v>
      </c>
    </row>
    <row r="466" spans="1:1" x14ac:dyDescent="0.4">
      <c r="A466" t="s">
        <v>1961</v>
      </c>
    </row>
    <row r="467" spans="1:1" x14ac:dyDescent="0.4">
      <c r="A467" t="s">
        <v>1962</v>
      </c>
    </row>
    <row r="468" spans="1:1" x14ac:dyDescent="0.4">
      <c r="A468" t="s">
        <v>2143</v>
      </c>
    </row>
    <row r="469" spans="1:1" x14ac:dyDescent="0.4">
      <c r="A469" t="s">
        <v>2144</v>
      </c>
    </row>
    <row r="470" spans="1:1" x14ac:dyDescent="0.4">
      <c r="A470" t="s">
        <v>1965</v>
      </c>
    </row>
    <row r="471" spans="1:1" x14ac:dyDescent="0.4">
      <c r="A471" t="s">
        <v>1966</v>
      </c>
    </row>
    <row r="473" spans="1:1" x14ac:dyDescent="0.4">
      <c r="A473" t="s">
        <v>2146</v>
      </c>
    </row>
    <row r="474" spans="1:1" x14ac:dyDescent="0.4">
      <c r="A474" t="s">
        <v>2141</v>
      </c>
    </row>
    <row r="475" spans="1:1" x14ac:dyDescent="0.4">
      <c r="A475" t="s">
        <v>2142</v>
      </c>
    </row>
    <row r="476" spans="1:1" x14ac:dyDescent="0.4">
      <c r="A476" t="s">
        <v>1961</v>
      </c>
    </row>
    <row r="477" spans="1:1" x14ac:dyDescent="0.4">
      <c r="A477" t="s">
        <v>1962</v>
      </c>
    </row>
    <row r="478" spans="1:1" x14ac:dyDescent="0.4">
      <c r="A478" t="s">
        <v>2143</v>
      </c>
    </row>
    <row r="479" spans="1:1" x14ac:dyDescent="0.4">
      <c r="A479" t="s">
        <v>2144</v>
      </c>
    </row>
    <row r="480" spans="1:1" x14ac:dyDescent="0.4">
      <c r="A480" t="s">
        <v>1965</v>
      </c>
    </row>
    <row r="481" spans="1:1" x14ac:dyDescent="0.4">
      <c r="A481" t="s">
        <v>1966</v>
      </c>
    </row>
    <row r="490" spans="1:1" x14ac:dyDescent="0.4">
      <c r="A490" t="s">
        <v>2147</v>
      </c>
    </row>
    <row r="491" spans="1:1" x14ac:dyDescent="0.4">
      <c r="A491" t="s">
        <v>2148</v>
      </c>
    </row>
    <row r="492" spans="1:1" x14ac:dyDescent="0.4">
      <c r="A492" t="s">
        <v>2149</v>
      </c>
    </row>
    <row r="493" spans="1:1" x14ac:dyDescent="0.4">
      <c r="A493" t="s">
        <v>2052</v>
      </c>
    </row>
    <row r="494" spans="1:1" x14ac:dyDescent="0.4">
      <c r="A494" t="s">
        <v>1965</v>
      </c>
    </row>
    <row r="495" spans="1:1" x14ac:dyDescent="0.4">
      <c r="A495" t="s">
        <v>2150</v>
      </c>
    </row>
    <row r="496" spans="1:1" x14ac:dyDescent="0.4">
      <c r="A496" t="s">
        <v>2151</v>
      </c>
    </row>
    <row r="497" spans="1:1" x14ac:dyDescent="0.4">
      <c r="A497" t="s">
        <v>2152</v>
      </c>
    </row>
    <row r="499" spans="1:1" x14ac:dyDescent="0.4">
      <c r="A499" t="s">
        <v>2153</v>
      </c>
    </row>
    <row r="500" spans="1:1" x14ac:dyDescent="0.4">
      <c r="A500" t="s">
        <v>2154</v>
      </c>
    </row>
    <row r="501" spans="1:1" x14ac:dyDescent="0.4">
      <c r="A501" t="s">
        <v>2155</v>
      </c>
    </row>
    <row r="502" spans="1:1" x14ac:dyDescent="0.4">
      <c r="A502" t="s">
        <v>2156</v>
      </c>
    </row>
    <row r="503" spans="1:1" x14ac:dyDescent="0.4">
      <c r="A503" t="s">
        <v>2157</v>
      </c>
    </row>
    <row r="504" spans="1:1" x14ac:dyDescent="0.4">
      <c r="A504" t="s">
        <v>2158</v>
      </c>
    </row>
    <row r="505" spans="1:1" x14ac:dyDescent="0.4">
      <c r="A505" t="s">
        <v>1965</v>
      </c>
    </row>
    <row r="507" spans="1:1" x14ac:dyDescent="0.4">
      <c r="A507" t="s">
        <v>2159</v>
      </c>
    </row>
    <row r="508" spans="1:1" x14ac:dyDescent="0.4">
      <c r="A508" t="s">
        <v>2058</v>
      </c>
    </row>
    <row r="509" spans="1:1" x14ac:dyDescent="0.4">
      <c r="A509" t="s">
        <v>2059</v>
      </c>
    </row>
    <row r="510" spans="1:1" x14ac:dyDescent="0.4">
      <c r="A510" t="s">
        <v>2060</v>
      </c>
    </row>
    <row r="511" spans="1:1" x14ac:dyDescent="0.4">
      <c r="A511" t="s">
        <v>2160</v>
      </c>
    </row>
    <row r="512" spans="1:1" x14ac:dyDescent="0.4">
      <c r="A512" t="s">
        <v>2161</v>
      </c>
    </row>
    <row r="513" spans="1:1" x14ac:dyDescent="0.4">
      <c r="A513" t="s">
        <v>1965</v>
      </c>
    </row>
    <row r="515" spans="1:1" x14ac:dyDescent="0.4">
      <c r="A515" t="s">
        <v>2162</v>
      </c>
    </row>
    <row r="516" spans="1:1" x14ac:dyDescent="0.4">
      <c r="A516" t="s">
        <v>2109</v>
      </c>
    </row>
    <row r="517" spans="1:1" x14ac:dyDescent="0.4">
      <c r="A517" t="s">
        <v>2110</v>
      </c>
    </row>
    <row r="518" spans="1:1" x14ac:dyDescent="0.4">
      <c r="A518" t="s">
        <v>2106</v>
      </c>
    </row>
    <row r="519" spans="1:1" x14ac:dyDescent="0.4">
      <c r="A519" t="s">
        <v>2163</v>
      </c>
    </row>
    <row r="520" spans="1:1" x14ac:dyDescent="0.4">
      <c r="A520" t="s">
        <v>1965</v>
      </c>
    </row>
    <row r="522" spans="1:1" x14ac:dyDescent="0.4">
      <c r="A522" t="s">
        <v>2164</v>
      </c>
    </row>
    <row r="523" spans="1:1" x14ac:dyDescent="0.4">
      <c r="A523" t="s">
        <v>2165</v>
      </c>
    </row>
    <row r="524" spans="1:1" x14ac:dyDescent="0.4">
      <c r="A524" t="s">
        <v>2166</v>
      </c>
    </row>
    <row r="525" spans="1:1" x14ac:dyDescent="0.4">
      <c r="A525" t="s">
        <v>2156</v>
      </c>
    </row>
    <row r="526" spans="1:1" x14ac:dyDescent="0.4">
      <c r="A526" t="s">
        <v>2167</v>
      </c>
    </row>
    <row r="527" spans="1:1" x14ac:dyDescent="0.4">
      <c r="A527" t="s">
        <v>2158</v>
      </c>
    </row>
    <row r="528" spans="1:1" x14ac:dyDescent="0.4">
      <c r="A528" t="s">
        <v>1965</v>
      </c>
    </row>
  </sheetData>
  <phoneticPr fontId="1"/>
  <pageMargins left="0.7" right="0.7" top="0.75" bottom="0.75" header="0.3" footer="0.3"/>
  <pageSetup paperSize="9" orientation="portrait" horizontalDpi="720" verticalDpi="72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5AE5E-0597-4B84-8FBC-D4BAF03867DA}">
  <sheetPr codeName="Sheet11">
    <tabColor rgb="FFFFFF00"/>
  </sheetPr>
  <dimension ref="A1"/>
  <sheetViews>
    <sheetView workbookViewId="0">
      <selection activeCell="G26" sqref="G26"/>
    </sheetView>
  </sheetViews>
  <sheetFormatPr defaultRowHeight="18.75" x14ac:dyDescent="0.4"/>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4A552-2E3F-4590-8568-343C9B72D972}">
  <sheetPr codeName="Sheet14">
    <tabColor rgb="FFFFC000"/>
  </sheetPr>
  <dimension ref="A1:W1000"/>
  <sheetViews>
    <sheetView workbookViewId="0"/>
  </sheetViews>
  <sheetFormatPr defaultRowHeight="18.75" x14ac:dyDescent="0.4"/>
  <cols>
    <col min="1" max="1" width="4.125" customWidth="1"/>
  </cols>
  <sheetData>
    <row r="1" spans="2:23" x14ac:dyDescent="0.4">
      <c r="W1" t="e" cm="1">
        <f t="array" ref="W1">LOOKUP(0,0/FIND(振り分け設定!$A$3:$A$33,H1),振り分け設定!$B$3:$B$33)</f>
        <v>#N/A</v>
      </c>
    </row>
    <row r="2" spans="2:23" x14ac:dyDescent="0.4">
      <c r="B2" t="s">
        <v>8</v>
      </c>
      <c r="W2" t="e" cm="1">
        <f t="array" ref="W2">LOOKUP(0,0/FIND(振り分け設定!$A$3:$A$33,H2),振り分け設定!$B$3:$B$33)</f>
        <v>#N/A</v>
      </c>
    </row>
    <row r="3" spans="2:23" x14ac:dyDescent="0.4">
      <c r="B3" s="5" t="s">
        <v>6</v>
      </c>
      <c r="C3" s="5">
        <f>SUM(C4:C7)</f>
        <v>512</v>
      </c>
      <c r="E3" s="6">
        <f>C3*1100</f>
        <v>563200</v>
      </c>
      <c r="W3" t="e" cm="1">
        <f t="array" ref="W3">LOOKUP(0,0/FIND(振り分け設定!$A$3:$A$33,H3),振り分け設定!$B$3:$B$33)</f>
        <v>#N/A</v>
      </c>
    </row>
    <row r="4" spans="2:23" x14ac:dyDescent="0.4">
      <c r="B4" s="4" t="s">
        <v>7</v>
      </c>
      <c r="C4" s="4">
        <f>(つるみ!A1+avedaﾐﾆ!A1+aveda大!A1+'B通常 横彫'!A1+'Bフチ取り 逆彫り'!A1+'B通常 逆彫り'!A1+その他!A1)</f>
        <v>372</v>
      </c>
      <c r="W4" t="e" cm="1">
        <f t="array" ref="W4">LOOKUP(0,0/FIND(振り分け設定!$A$3:$A$33,H4),振り分け設定!$B$3:$B$33)</f>
        <v>#N/A</v>
      </c>
    </row>
    <row r="5" spans="2:23" x14ac:dyDescent="0.4">
      <c r="B5" s="4" t="s">
        <v>9</v>
      </c>
      <c r="C5" s="4">
        <f>第二!A1</f>
        <v>83</v>
      </c>
      <c r="W5" t="e" cm="1">
        <f t="array" ref="W5">LOOKUP(0,0/FIND(振り分け設定!$A$3:$A$33,H5),振り分け設定!$B$3:$B$33)</f>
        <v>#N/A</v>
      </c>
    </row>
    <row r="6" spans="2:23" x14ac:dyDescent="0.4">
      <c r="B6" s="4" t="s">
        <v>10</v>
      </c>
      <c r="C6" s="4">
        <f>(UV!A1+'B 2客'!A1+'B 1客'!A1)</f>
        <v>56</v>
      </c>
      <c r="W6" t="e" cm="1">
        <f t="array" ref="W6">LOOKUP(0,0/FIND(振り分け設定!$A$3:$A$33,H6),振り分け設定!$B$3:$B$33)</f>
        <v>#N/A</v>
      </c>
    </row>
    <row r="7" spans="2:23" x14ac:dyDescent="0.4">
      <c r="B7" s="17" t="s">
        <v>2171</v>
      </c>
      <c r="C7" s="4">
        <v>1</v>
      </c>
      <c r="W7" t="e" cm="1">
        <f t="array" ref="W7">LOOKUP(0,0/FIND(振り分け設定!$A$3:$A$33,H7),振り分け設定!$B$3:$B$33)</f>
        <v>#N/A</v>
      </c>
    </row>
    <row r="8" spans="2:23" x14ac:dyDescent="0.4">
      <c r="W8" t="e" cm="1">
        <f t="array" ref="W8">LOOKUP(0,0/FIND(振り分け設定!$A$3:$A$33,H8),振り分け設定!$B$3:$B$33)</f>
        <v>#N/A</v>
      </c>
    </row>
    <row r="9" spans="2:23" x14ac:dyDescent="0.4">
      <c r="W9" t="e" cm="1">
        <f t="array" ref="W9">LOOKUP(0,0/FIND(振り分け設定!$A$3:$A$33,H9),振り分け設定!$B$3:$B$33)</f>
        <v>#N/A</v>
      </c>
    </row>
    <row r="10" spans="2:23" x14ac:dyDescent="0.4">
      <c r="W10" t="e" cm="1">
        <f t="array" ref="W10">LOOKUP(0,0/FIND(振り分け設定!$A$3:$A$33,H10),振り分け設定!$B$3:$B$33)</f>
        <v>#N/A</v>
      </c>
    </row>
    <row r="11" spans="2:23" x14ac:dyDescent="0.4">
      <c r="W11" t="e" cm="1">
        <f t="array" ref="W11">LOOKUP(0,0/FIND(振り分け設定!$A$3:$A$33,H11),振り分け設定!$B$3:$B$33)</f>
        <v>#N/A</v>
      </c>
    </row>
    <row r="12" spans="2:23" x14ac:dyDescent="0.4">
      <c r="W12" t="e" cm="1">
        <f t="array" ref="W12">LOOKUP(0,0/FIND(振り分け設定!$A$3:$A$33,H12),振り分け設定!$B$3:$B$33)</f>
        <v>#N/A</v>
      </c>
    </row>
    <row r="13" spans="2:23" x14ac:dyDescent="0.4">
      <c r="W13" t="e" cm="1">
        <f t="array" ref="W13">LOOKUP(0,0/FIND(振り分け設定!$A$3:$A$33,H13),振り分け設定!$B$3:$B$33)</f>
        <v>#N/A</v>
      </c>
    </row>
    <row r="14" spans="2:23" x14ac:dyDescent="0.4">
      <c r="W14" t="e" cm="1">
        <f t="array" ref="W14">LOOKUP(0,0/FIND(振り分け設定!$A$3:$A$33,H14),振り分け設定!$B$3:$B$33)</f>
        <v>#N/A</v>
      </c>
    </row>
    <row r="15" spans="2:23" x14ac:dyDescent="0.4">
      <c r="W15" t="e" cm="1">
        <f t="array" ref="W15">LOOKUP(0,0/FIND(振り分け設定!$A$3:$A$33,H15),振り分け設定!$B$3:$B$33)</f>
        <v>#N/A</v>
      </c>
    </row>
    <row r="16" spans="2:23" x14ac:dyDescent="0.4">
      <c r="W16" t="e" cm="1">
        <f t="array" ref="W16">LOOKUP(0,0/FIND(振り分け設定!$A$3:$A$33,H16),振り分け設定!$B$3:$B$33)</f>
        <v>#N/A</v>
      </c>
    </row>
    <row r="17" spans="23:23" x14ac:dyDescent="0.4">
      <c r="W17" t="e" cm="1">
        <f t="array" ref="W17">LOOKUP(0,0/FIND(振り分け設定!$A$3:$A$33,H17),振り分け設定!$B$3:$B$33)</f>
        <v>#N/A</v>
      </c>
    </row>
    <row r="18" spans="23:23" x14ac:dyDescent="0.4">
      <c r="W18" t="e" cm="1">
        <f t="array" ref="W18">LOOKUP(0,0/FIND(振り分け設定!$A$3:$A$33,H18),振り分け設定!$B$3:$B$33)</f>
        <v>#N/A</v>
      </c>
    </row>
    <row r="19" spans="23:23" x14ac:dyDescent="0.4">
      <c r="W19" t="e" cm="1">
        <f t="array" ref="W19">LOOKUP(0,0/FIND(振り分け設定!$A$3:$A$33,H19),振り分け設定!$B$3:$B$33)</f>
        <v>#N/A</v>
      </c>
    </row>
    <row r="20" spans="23:23" x14ac:dyDescent="0.4">
      <c r="W20" t="e" cm="1">
        <f t="array" ref="W20">LOOKUP(0,0/FIND(振り分け設定!$A$3:$A$33,H20),振り分け設定!$B$3:$B$33)</f>
        <v>#N/A</v>
      </c>
    </row>
    <row r="21" spans="23:23" x14ac:dyDescent="0.4">
      <c r="W21" t="e" cm="1">
        <f t="array" ref="W21">LOOKUP(0,0/FIND(振り分け設定!$A$3:$A$33,H21),振り分け設定!$B$3:$B$33)</f>
        <v>#N/A</v>
      </c>
    </row>
    <row r="22" spans="23:23" x14ac:dyDescent="0.4">
      <c r="W22" t="e" cm="1">
        <f t="array" ref="W22">LOOKUP(0,0/FIND(振り分け設定!$A$3:$A$33,H22),振り分け設定!$B$3:$B$33)</f>
        <v>#N/A</v>
      </c>
    </row>
    <row r="23" spans="23:23" x14ac:dyDescent="0.4">
      <c r="W23" t="e" cm="1">
        <f t="array" ref="W23">LOOKUP(0,0/FIND(振り分け設定!$A$3:$A$33,H23),振り分け設定!$B$3:$B$33)</f>
        <v>#N/A</v>
      </c>
    </row>
    <row r="24" spans="23:23" x14ac:dyDescent="0.4">
      <c r="W24" t="e" cm="1">
        <f t="array" ref="W24">LOOKUP(0,0/FIND(振り分け設定!$A$3:$A$33,H24),振り分け設定!$B$3:$B$33)</f>
        <v>#N/A</v>
      </c>
    </row>
    <row r="25" spans="23:23" x14ac:dyDescent="0.4">
      <c r="W25" t="e" cm="1">
        <f t="array" ref="W25">LOOKUP(0,0/FIND(振り分け設定!$A$3:$A$33,H25),振り分け設定!$B$3:$B$33)</f>
        <v>#N/A</v>
      </c>
    </row>
    <row r="26" spans="23:23" x14ac:dyDescent="0.4">
      <c r="W26" t="e" cm="1">
        <f t="array" ref="W26">LOOKUP(0,0/FIND(振り分け設定!$A$3:$A$33,H26),振り分け設定!$B$3:$B$33)</f>
        <v>#N/A</v>
      </c>
    </row>
    <row r="27" spans="23:23" x14ac:dyDescent="0.4">
      <c r="W27" t="e" cm="1">
        <f t="array" ref="W27">LOOKUP(0,0/FIND(振り分け設定!$A$3:$A$33,H27),振り分け設定!$B$3:$B$33)</f>
        <v>#N/A</v>
      </c>
    </row>
    <row r="28" spans="23:23" x14ac:dyDescent="0.4">
      <c r="W28" t="e" cm="1">
        <f t="array" ref="W28">LOOKUP(0,0/FIND(振り分け設定!$A$3:$A$33,H28),振り分け設定!$B$3:$B$33)</f>
        <v>#N/A</v>
      </c>
    </row>
    <row r="29" spans="23:23" x14ac:dyDescent="0.4">
      <c r="W29" t="e" cm="1">
        <f t="array" ref="W29">LOOKUP(0,0/FIND(振り分け設定!$A$3:$A$33,H29),振り分け設定!$B$3:$B$33)</f>
        <v>#N/A</v>
      </c>
    </row>
    <row r="30" spans="23:23" x14ac:dyDescent="0.4">
      <c r="W30" t="e" cm="1">
        <f t="array" ref="W30">LOOKUP(0,0/FIND(振り分け設定!$A$3:$A$33,H30),振り分け設定!$B$3:$B$33)</f>
        <v>#N/A</v>
      </c>
    </row>
    <row r="31" spans="23:23" x14ac:dyDescent="0.4">
      <c r="W31" t="e" cm="1">
        <f t="array" ref="W31">LOOKUP(0,0/FIND(振り分け設定!$A$3:$A$33,H31),振り分け設定!$B$3:$B$33)</f>
        <v>#N/A</v>
      </c>
    </row>
    <row r="32" spans="23:23" x14ac:dyDescent="0.4">
      <c r="W32" t="e" cm="1">
        <f t="array" ref="W32">LOOKUP(0,0/FIND(振り分け設定!$A$3:$A$33,H32),振り分け設定!$B$3:$B$33)</f>
        <v>#N/A</v>
      </c>
    </row>
    <row r="33" spans="1:23" x14ac:dyDescent="0.4">
      <c r="W33" t="e" cm="1">
        <f t="array" ref="W33">LOOKUP(0,0/FIND(振り分け設定!$A$3:$A$33,H33),振り分け設定!$B$3:$B$33)</f>
        <v>#N/A</v>
      </c>
    </row>
    <row r="34" spans="1:23" x14ac:dyDescent="0.4">
      <c r="A34" t="s">
        <v>118</v>
      </c>
      <c r="B34" t="s">
        <v>118</v>
      </c>
      <c r="W34" t="e" cm="1">
        <f t="array" ref="W34">LOOKUP(0,0/FIND(振り分け設定!$A$3:$A$33,H34),振り分け設定!$B$3:$B$33)</f>
        <v>#N/A</v>
      </c>
    </row>
    <row r="35" spans="1:23" x14ac:dyDescent="0.4">
      <c r="A35" t="s">
        <v>118</v>
      </c>
      <c r="B35" t="s">
        <v>118</v>
      </c>
      <c r="W35" t="e" cm="1">
        <f t="array" ref="W35">LOOKUP(0,0/FIND(振り分け設定!$A$3:$A$33,H35),振り分け設定!$B$3:$B$33)</f>
        <v>#N/A</v>
      </c>
    </row>
    <row r="36" spans="1:23" x14ac:dyDescent="0.4">
      <c r="A36" t="s">
        <v>118</v>
      </c>
      <c r="B36" t="s">
        <v>118</v>
      </c>
      <c r="W36" t="e" cm="1">
        <f t="array" ref="W36">LOOKUP(0,0/FIND(振り分け設定!$A$3:$A$33,H36),振り分け設定!$B$3:$B$33)</f>
        <v>#N/A</v>
      </c>
    </row>
    <row r="37" spans="1:23" x14ac:dyDescent="0.4">
      <c r="A37" t="s">
        <v>118</v>
      </c>
      <c r="B37" t="s">
        <v>118</v>
      </c>
      <c r="W37" t="e" cm="1">
        <f t="array" ref="W37">LOOKUP(0,0/FIND(振り分け設定!$A$3:$A$33,H37),振り分け設定!$B$3:$B$33)</f>
        <v>#N/A</v>
      </c>
    </row>
    <row r="38" spans="1:23" x14ac:dyDescent="0.4">
      <c r="A38" t="s">
        <v>118</v>
      </c>
      <c r="B38" t="s">
        <v>118</v>
      </c>
      <c r="W38" t="e" cm="1">
        <f t="array" ref="W38">LOOKUP(0,0/FIND(振り分け設定!$A$3:$A$33,H38),振り分け設定!$B$3:$B$33)</f>
        <v>#N/A</v>
      </c>
    </row>
    <row r="39" spans="1:23" x14ac:dyDescent="0.4">
      <c r="A39" t="s">
        <v>118</v>
      </c>
      <c r="B39" t="s">
        <v>118</v>
      </c>
      <c r="W39" t="e" cm="1">
        <f t="array" ref="W39">LOOKUP(0,0/FIND(振り分け設定!$A$3:$A$33,H39),振り分け設定!$B$3:$B$33)</f>
        <v>#N/A</v>
      </c>
    </row>
    <row r="40" spans="1:23" x14ac:dyDescent="0.4">
      <c r="A40" t="s">
        <v>118</v>
      </c>
      <c r="B40" t="s">
        <v>118</v>
      </c>
      <c r="W40" t="e" cm="1">
        <f t="array" ref="W40">LOOKUP(0,0/FIND(振り分け設定!$A$3:$A$33,H40),振り分け設定!$B$3:$B$33)</f>
        <v>#N/A</v>
      </c>
    </row>
    <row r="41" spans="1:23" x14ac:dyDescent="0.4">
      <c r="A41" t="s">
        <v>118</v>
      </c>
      <c r="B41" t="s">
        <v>118</v>
      </c>
      <c r="W41" t="e" cm="1">
        <f t="array" ref="W41">LOOKUP(0,0/FIND(振り分け設定!$A$3:$A$33,H41),振り分け設定!$B$3:$B$33)</f>
        <v>#N/A</v>
      </c>
    </row>
    <row r="42" spans="1:23" x14ac:dyDescent="0.4">
      <c r="A42" t="s">
        <v>118</v>
      </c>
      <c r="B42" t="s">
        <v>118</v>
      </c>
      <c r="W42" t="e" cm="1">
        <f t="array" ref="W42">LOOKUP(0,0/FIND(振り分け設定!$A$3:$A$33,H42),振り分け設定!$B$3:$B$33)</f>
        <v>#N/A</v>
      </c>
    </row>
    <row r="43" spans="1:23" x14ac:dyDescent="0.4">
      <c r="A43" t="s">
        <v>118</v>
      </c>
      <c r="B43" t="s">
        <v>118</v>
      </c>
      <c r="W43" t="e" cm="1">
        <f t="array" ref="W43">LOOKUP(0,0/FIND(振り分け設定!$A$3:$A$33,H43),振り分け設定!$B$3:$B$33)</f>
        <v>#N/A</v>
      </c>
    </row>
    <row r="44" spans="1:23" x14ac:dyDescent="0.4">
      <c r="A44" t="s">
        <v>118</v>
      </c>
      <c r="B44" t="s">
        <v>118</v>
      </c>
      <c r="W44" t="e" cm="1">
        <f t="array" ref="W44">LOOKUP(0,0/FIND(振り分け設定!$A$3:$A$33,H44),振り分け設定!$B$3:$B$33)</f>
        <v>#N/A</v>
      </c>
    </row>
    <row r="45" spans="1:23" x14ac:dyDescent="0.4">
      <c r="A45" t="s">
        <v>118</v>
      </c>
      <c r="B45" t="s">
        <v>118</v>
      </c>
      <c r="W45" t="e" cm="1">
        <f t="array" ref="W45">LOOKUP(0,0/FIND(振り分け設定!$A$3:$A$33,H45),振り分け設定!$B$3:$B$33)</f>
        <v>#N/A</v>
      </c>
    </row>
    <row r="46" spans="1:23" x14ac:dyDescent="0.4">
      <c r="A46" t="s">
        <v>118</v>
      </c>
      <c r="B46" t="s">
        <v>118</v>
      </c>
      <c r="W46" t="e" cm="1">
        <f t="array" ref="W46">LOOKUP(0,0/FIND(振り分け設定!$A$3:$A$33,H46),振り分け設定!$B$3:$B$33)</f>
        <v>#N/A</v>
      </c>
    </row>
    <row r="47" spans="1:23" x14ac:dyDescent="0.4">
      <c r="A47" t="s">
        <v>118</v>
      </c>
      <c r="B47" t="s">
        <v>118</v>
      </c>
      <c r="W47" t="e" cm="1">
        <f t="array" ref="W47">LOOKUP(0,0/FIND(振り分け設定!$A$3:$A$33,H47),振り分け設定!$B$3:$B$33)</f>
        <v>#N/A</v>
      </c>
    </row>
    <row r="48" spans="1:23" x14ac:dyDescent="0.4">
      <c r="A48" t="s">
        <v>118</v>
      </c>
      <c r="B48" t="s">
        <v>118</v>
      </c>
      <c r="W48" t="e" cm="1">
        <f t="array" ref="W48">LOOKUP(0,0/FIND(振り分け設定!$A$3:$A$33,H48),振り分け設定!$B$3:$B$33)</f>
        <v>#N/A</v>
      </c>
    </row>
    <row r="49" spans="1:23" x14ac:dyDescent="0.4">
      <c r="A49" t="s">
        <v>118</v>
      </c>
      <c r="B49" t="s">
        <v>118</v>
      </c>
      <c r="W49" t="e" cm="1">
        <f t="array" ref="W49">LOOKUP(0,0/FIND(振り分け設定!$A$3:$A$33,H49),振り分け設定!$B$3:$B$33)</f>
        <v>#N/A</v>
      </c>
    </row>
    <row r="50" spans="1:23" x14ac:dyDescent="0.4">
      <c r="A50" t="s">
        <v>118</v>
      </c>
      <c r="B50" t="s">
        <v>118</v>
      </c>
      <c r="W50" t="e" cm="1">
        <f t="array" ref="W50">LOOKUP(0,0/FIND(振り分け設定!$A$3:$A$33,H50),振り分け設定!$B$3:$B$33)</f>
        <v>#N/A</v>
      </c>
    </row>
    <row r="51" spans="1:23" x14ac:dyDescent="0.4">
      <c r="A51" t="s">
        <v>118</v>
      </c>
      <c r="B51" t="s">
        <v>118</v>
      </c>
      <c r="W51" t="e" cm="1">
        <f t="array" ref="W51">LOOKUP(0,0/FIND(振り分け設定!$A$3:$A$33,H51),振り分け設定!$B$3:$B$33)</f>
        <v>#N/A</v>
      </c>
    </row>
    <row r="52" spans="1:23" x14ac:dyDescent="0.4">
      <c r="A52" t="s">
        <v>118</v>
      </c>
      <c r="B52" t="s">
        <v>118</v>
      </c>
      <c r="W52" t="e" cm="1">
        <f t="array" ref="W52">LOOKUP(0,0/FIND(振り分け設定!$A$3:$A$33,H52),振り分け設定!$B$3:$B$33)</f>
        <v>#N/A</v>
      </c>
    </row>
    <row r="53" spans="1:23" x14ac:dyDescent="0.4">
      <c r="A53" t="s">
        <v>118</v>
      </c>
      <c r="B53" t="s">
        <v>118</v>
      </c>
      <c r="W53" t="e" cm="1">
        <f t="array" ref="W53">LOOKUP(0,0/FIND(振り分け設定!$A$3:$A$33,H53),振り分け設定!$B$3:$B$33)</f>
        <v>#N/A</v>
      </c>
    </row>
    <row r="54" spans="1:23" x14ac:dyDescent="0.4">
      <c r="A54" t="s">
        <v>118</v>
      </c>
      <c r="B54" t="s">
        <v>118</v>
      </c>
      <c r="W54" t="e" cm="1">
        <f t="array" ref="W54">LOOKUP(0,0/FIND(振り分け設定!$A$3:$A$33,H54),振り分け設定!$B$3:$B$33)</f>
        <v>#N/A</v>
      </c>
    </row>
    <row r="55" spans="1:23" x14ac:dyDescent="0.4">
      <c r="A55" t="s">
        <v>118</v>
      </c>
      <c r="B55" t="s">
        <v>118</v>
      </c>
      <c r="W55" t="e" cm="1">
        <f t="array" ref="W55">LOOKUP(0,0/FIND(振り分け設定!$A$3:$A$33,H55),振り分け設定!$B$3:$B$33)</f>
        <v>#N/A</v>
      </c>
    </row>
    <row r="56" spans="1:23" x14ac:dyDescent="0.4">
      <c r="A56" t="s">
        <v>118</v>
      </c>
      <c r="B56" t="s">
        <v>118</v>
      </c>
      <c r="W56" t="e" cm="1">
        <f t="array" ref="W56">LOOKUP(0,0/FIND(振り分け設定!$A$3:$A$33,H56),振り分け設定!$B$3:$B$33)</f>
        <v>#N/A</v>
      </c>
    </row>
    <row r="57" spans="1:23" x14ac:dyDescent="0.4">
      <c r="A57" t="s">
        <v>118</v>
      </c>
      <c r="B57" t="s">
        <v>118</v>
      </c>
      <c r="W57" t="e" cm="1">
        <f t="array" ref="W57">LOOKUP(0,0/FIND(振り分け設定!$A$3:$A$33,H57),振り分け設定!$B$3:$B$33)</f>
        <v>#N/A</v>
      </c>
    </row>
    <row r="58" spans="1:23" x14ac:dyDescent="0.4">
      <c r="A58" t="s">
        <v>118</v>
      </c>
      <c r="B58" t="s">
        <v>118</v>
      </c>
      <c r="W58" t="e" cm="1">
        <f t="array" ref="W58">LOOKUP(0,0/FIND(振り分け設定!$A$3:$A$33,H58),振り分け設定!$B$3:$B$33)</f>
        <v>#N/A</v>
      </c>
    </row>
    <row r="59" spans="1:23" x14ac:dyDescent="0.4">
      <c r="A59" t="s">
        <v>118</v>
      </c>
      <c r="B59" t="s">
        <v>118</v>
      </c>
      <c r="W59" t="e" cm="1">
        <f t="array" ref="W59">LOOKUP(0,0/FIND(振り分け設定!$A$3:$A$33,H59),振り分け設定!$B$3:$B$33)</f>
        <v>#N/A</v>
      </c>
    </row>
    <row r="60" spans="1:23" x14ac:dyDescent="0.4">
      <c r="A60" t="s">
        <v>118</v>
      </c>
      <c r="B60" t="s">
        <v>118</v>
      </c>
      <c r="W60" t="e" cm="1">
        <f t="array" ref="W60">LOOKUP(0,0/FIND(振り分け設定!$A$3:$A$33,H60),振り分け設定!$B$3:$B$33)</f>
        <v>#N/A</v>
      </c>
    </row>
    <row r="61" spans="1:23" x14ac:dyDescent="0.4">
      <c r="A61" t="s">
        <v>118</v>
      </c>
      <c r="B61" t="s">
        <v>118</v>
      </c>
      <c r="W61" t="e" cm="1">
        <f t="array" ref="W61">LOOKUP(0,0/FIND(振り分け設定!$A$3:$A$33,H61),振り分け設定!$B$3:$B$33)</f>
        <v>#N/A</v>
      </c>
    </row>
    <row r="62" spans="1:23" x14ac:dyDescent="0.4">
      <c r="A62" t="s">
        <v>118</v>
      </c>
      <c r="B62" t="s">
        <v>118</v>
      </c>
      <c r="W62" t="e" cm="1">
        <f t="array" ref="W62">LOOKUP(0,0/FIND(振り分け設定!$A$3:$A$33,H62),振り分け設定!$B$3:$B$33)</f>
        <v>#N/A</v>
      </c>
    </row>
    <row r="63" spans="1:23" x14ac:dyDescent="0.4">
      <c r="A63" t="s">
        <v>118</v>
      </c>
      <c r="B63" t="s">
        <v>118</v>
      </c>
      <c r="W63" t="e" cm="1">
        <f t="array" ref="W63">LOOKUP(0,0/FIND(振り分け設定!$A$3:$A$33,H63),振り分け設定!$B$3:$B$33)</f>
        <v>#N/A</v>
      </c>
    </row>
    <row r="64" spans="1:23" x14ac:dyDescent="0.4">
      <c r="A64" t="s">
        <v>118</v>
      </c>
      <c r="B64" t="s">
        <v>118</v>
      </c>
      <c r="W64" t="e" cm="1">
        <f t="array" ref="W64">LOOKUP(0,0/FIND(振り分け設定!$A$3:$A$33,H64),振り分け設定!$B$3:$B$33)</f>
        <v>#N/A</v>
      </c>
    </row>
    <row r="65" spans="1:23" x14ac:dyDescent="0.4">
      <c r="A65" t="s">
        <v>118</v>
      </c>
      <c r="B65" t="s">
        <v>118</v>
      </c>
      <c r="W65" t="e" cm="1">
        <f t="array" ref="W65">LOOKUP(0,0/FIND(振り分け設定!$A$3:$A$33,H65),振り分け設定!$B$3:$B$33)</f>
        <v>#N/A</v>
      </c>
    </row>
    <row r="66" spans="1:23" x14ac:dyDescent="0.4">
      <c r="A66" t="s">
        <v>118</v>
      </c>
      <c r="B66" t="s">
        <v>118</v>
      </c>
      <c r="W66" t="e" cm="1">
        <f t="array" ref="W66">LOOKUP(0,0/FIND(振り分け設定!$A$3:$A$33,H66),振り分け設定!$B$3:$B$33)</f>
        <v>#N/A</v>
      </c>
    </row>
    <row r="67" spans="1:23" x14ac:dyDescent="0.4">
      <c r="A67" t="s">
        <v>118</v>
      </c>
      <c r="B67" t="s">
        <v>118</v>
      </c>
      <c r="W67" t="e" cm="1">
        <f t="array" ref="W67">LOOKUP(0,0/FIND(振り分け設定!$A$3:$A$33,H67),振り分け設定!$B$3:$B$33)</f>
        <v>#N/A</v>
      </c>
    </row>
    <row r="68" spans="1:23" x14ac:dyDescent="0.4">
      <c r="A68" t="s">
        <v>118</v>
      </c>
      <c r="B68" t="s">
        <v>118</v>
      </c>
      <c r="W68" t="e" cm="1">
        <f t="array" ref="W68">LOOKUP(0,0/FIND(振り分け設定!$A$3:$A$33,H68),振り分け設定!$B$3:$B$33)</f>
        <v>#N/A</v>
      </c>
    </row>
    <row r="69" spans="1:23" x14ac:dyDescent="0.4">
      <c r="A69" t="s">
        <v>118</v>
      </c>
      <c r="B69" t="s">
        <v>118</v>
      </c>
      <c r="W69" t="e" cm="1">
        <f t="array" ref="W69">LOOKUP(0,0/FIND(振り分け設定!$A$3:$A$33,H69),振り分け設定!$B$3:$B$33)</f>
        <v>#N/A</v>
      </c>
    </row>
    <row r="70" spans="1:23" x14ac:dyDescent="0.4">
      <c r="A70" t="s">
        <v>118</v>
      </c>
      <c r="B70" t="s">
        <v>118</v>
      </c>
      <c r="W70" t="e" cm="1">
        <f t="array" ref="W70">LOOKUP(0,0/FIND(振り分け設定!$A$3:$A$33,H70),振り分け設定!$B$3:$B$33)</f>
        <v>#N/A</v>
      </c>
    </row>
    <row r="71" spans="1:23" x14ac:dyDescent="0.4">
      <c r="A71" t="s">
        <v>118</v>
      </c>
      <c r="B71" t="s">
        <v>118</v>
      </c>
      <c r="W71" t="e" cm="1">
        <f t="array" ref="W71">LOOKUP(0,0/FIND(振り分け設定!$A$3:$A$33,H71),振り分け設定!$B$3:$B$33)</f>
        <v>#N/A</v>
      </c>
    </row>
    <row r="72" spans="1:23" x14ac:dyDescent="0.4">
      <c r="A72" t="s">
        <v>118</v>
      </c>
      <c r="B72" t="s">
        <v>118</v>
      </c>
      <c r="W72" t="e" cm="1">
        <f t="array" ref="W72">LOOKUP(0,0/FIND(振り分け設定!$A$3:$A$33,H72),振り分け設定!$B$3:$B$33)</f>
        <v>#N/A</v>
      </c>
    </row>
    <row r="73" spans="1:23" x14ac:dyDescent="0.4">
      <c r="A73" t="s">
        <v>118</v>
      </c>
      <c r="B73" t="s">
        <v>118</v>
      </c>
      <c r="W73" t="e" cm="1">
        <f t="array" ref="W73">LOOKUP(0,0/FIND(振り分け設定!$A$3:$A$33,H73),振り分け設定!$B$3:$B$33)</f>
        <v>#N/A</v>
      </c>
    </row>
    <row r="74" spans="1:23" x14ac:dyDescent="0.4">
      <c r="A74" t="s">
        <v>118</v>
      </c>
      <c r="B74" t="s">
        <v>118</v>
      </c>
      <c r="W74" t="e" cm="1">
        <f t="array" ref="W74">LOOKUP(0,0/FIND(振り分け設定!$A$3:$A$33,H74),振り分け設定!$B$3:$B$33)</f>
        <v>#N/A</v>
      </c>
    </row>
    <row r="75" spans="1:23" x14ac:dyDescent="0.4">
      <c r="A75" t="s">
        <v>118</v>
      </c>
      <c r="B75" t="s">
        <v>118</v>
      </c>
      <c r="W75" t="e" cm="1">
        <f t="array" ref="W75">LOOKUP(0,0/FIND(振り分け設定!$A$3:$A$33,H75),振り分け設定!$B$3:$B$33)</f>
        <v>#N/A</v>
      </c>
    </row>
    <row r="76" spans="1:23" x14ac:dyDescent="0.4">
      <c r="A76" t="s">
        <v>118</v>
      </c>
      <c r="B76" t="s">
        <v>118</v>
      </c>
      <c r="W76" t="e" cm="1">
        <f t="array" ref="W76">LOOKUP(0,0/FIND(振り分け設定!$A$3:$A$33,H76),振り分け設定!$B$3:$B$33)</f>
        <v>#N/A</v>
      </c>
    </row>
    <row r="77" spans="1:23" x14ac:dyDescent="0.4">
      <c r="A77" t="s">
        <v>118</v>
      </c>
      <c r="B77" t="s">
        <v>118</v>
      </c>
      <c r="W77" t="e" cm="1">
        <f t="array" ref="W77">LOOKUP(0,0/FIND(振り分け設定!$A$3:$A$33,H77),振り分け設定!$B$3:$B$33)</f>
        <v>#N/A</v>
      </c>
    </row>
    <row r="78" spans="1:23" x14ac:dyDescent="0.4">
      <c r="A78" t="s">
        <v>118</v>
      </c>
      <c r="B78" t="s">
        <v>118</v>
      </c>
      <c r="W78" t="e" cm="1">
        <f t="array" ref="W78">LOOKUP(0,0/FIND(振り分け設定!$A$3:$A$33,H78),振り分け設定!$B$3:$B$33)</f>
        <v>#N/A</v>
      </c>
    </row>
    <row r="79" spans="1:23" x14ac:dyDescent="0.4">
      <c r="A79" t="s">
        <v>118</v>
      </c>
      <c r="B79" t="s">
        <v>118</v>
      </c>
      <c r="W79" t="e" cm="1">
        <f t="array" ref="W79">LOOKUP(0,0/FIND(振り分け設定!$A$3:$A$33,H79),振り分け設定!$B$3:$B$33)</f>
        <v>#N/A</v>
      </c>
    </row>
    <row r="80" spans="1:23" x14ac:dyDescent="0.4">
      <c r="A80" t="s">
        <v>118</v>
      </c>
      <c r="B80" t="s">
        <v>118</v>
      </c>
      <c r="W80" t="e" cm="1">
        <f t="array" ref="W80">LOOKUP(0,0/FIND(振り分け設定!$A$3:$A$33,H80),振り分け設定!$B$3:$B$33)</f>
        <v>#N/A</v>
      </c>
    </row>
    <row r="81" spans="1:23" x14ac:dyDescent="0.4">
      <c r="A81" t="s">
        <v>118</v>
      </c>
      <c r="B81" t="s">
        <v>118</v>
      </c>
      <c r="W81" t="e" cm="1">
        <f t="array" ref="W81">LOOKUP(0,0/FIND(振り分け設定!$A$3:$A$33,H81),振り分け設定!$B$3:$B$33)</f>
        <v>#N/A</v>
      </c>
    </row>
    <row r="82" spans="1:23" x14ac:dyDescent="0.4">
      <c r="A82" t="s">
        <v>118</v>
      </c>
      <c r="B82" t="s">
        <v>118</v>
      </c>
      <c r="W82" t="e" cm="1">
        <f t="array" ref="W82">LOOKUP(0,0/FIND(振り分け設定!$A$3:$A$33,H82),振り分け設定!$B$3:$B$33)</f>
        <v>#N/A</v>
      </c>
    </row>
    <row r="83" spans="1:23" x14ac:dyDescent="0.4">
      <c r="A83" t="s">
        <v>118</v>
      </c>
      <c r="B83" t="s">
        <v>118</v>
      </c>
      <c r="W83" t="e" cm="1">
        <f t="array" ref="W83">LOOKUP(0,0/FIND(振り分け設定!$A$3:$A$33,H83),振り分け設定!$B$3:$B$33)</f>
        <v>#N/A</v>
      </c>
    </row>
    <row r="84" spans="1:23" x14ac:dyDescent="0.4">
      <c r="A84" t="s">
        <v>118</v>
      </c>
      <c r="B84" t="s">
        <v>118</v>
      </c>
      <c r="W84" t="e" cm="1">
        <f t="array" ref="W84">LOOKUP(0,0/FIND(振り分け設定!$A$3:$A$33,H84),振り分け設定!$B$3:$B$33)</f>
        <v>#N/A</v>
      </c>
    </row>
    <row r="85" spans="1:23" x14ac:dyDescent="0.4">
      <c r="A85" t="s">
        <v>118</v>
      </c>
      <c r="B85" t="s">
        <v>118</v>
      </c>
      <c r="W85" t="e" cm="1">
        <f t="array" ref="W85">LOOKUP(0,0/FIND(振り分け設定!$A$3:$A$33,H85),振り分け設定!$B$3:$B$33)</f>
        <v>#N/A</v>
      </c>
    </row>
    <row r="86" spans="1:23" x14ac:dyDescent="0.4">
      <c r="A86" t="s">
        <v>118</v>
      </c>
      <c r="B86" t="s">
        <v>118</v>
      </c>
      <c r="W86" t="e" cm="1">
        <f t="array" ref="W86">LOOKUP(0,0/FIND(振り分け設定!$A$3:$A$33,H86),振り分け設定!$B$3:$B$33)</f>
        <v>#N/A</v>
      </c>
    </row>
    <row r="87" spans="1:23" x14ac:dyDescent="0.4">
      <c r="A87" t="s">
        <v>118</v>
      </c>
      <c r="B87" t="s">
        <v>118</v>
      </c>
      <c r="W87" t="e" cm="1">
        <f t="array" ref="W87">LOOKUP(0,0/FIND(振り分け設定!$A$3:$A$33,H87),振り分け設定!$B$3:$B$33)</f>
        <v>#N/A</v>
      </c>
    </row>
    <row r="88" spans="1:23" x14ac:dyDescent="0.4">
      <c r="A88" t="s">
        <v>118</v>
      </c>
      <c r="B88" t="s">
        <v>118</v>
      </c>
      <c r="W88" t="e" cm="1">
        <f t="array" ref="W88">LOOKUP(0,0/FIND(振り分け設定!$A$3:$A$33,H88),振り分け設定!$B$3:$B$33)</f>
        <v>#N/A</v>
      </c>
    </row>
    <row r="89" spans="1:23" x14ac:dyDescent="0.4">
      <c r="A89" t="s">
        <v>118</v>
      </c>
      <c r="B89" t="s">
        <v>118</v>
      </c>
      <c r="W89" t="e" cm="1">
        <f t="array" ref="W89">LOOKUP(0,0/FIND(振り分け設定!$A$3:$A$33,H89),振り分け設定!$B$3:$B$33)</f>
        <v>#N/A</v>
      </c>
    </row>
    <row r="90" spans="1:23" x14ac:dyDescent="0.4">
      <c r="A90" t="s">
        <v>118</v>
      </c>
      <c r="B90" t="s">
        <v>118</v>
      </c>
      <c r="W90" t="e" cm="1">
        <f t="array" ref="W90">LOOKUP(0,0/FIND(振り分け設定!$A$3:$A$33,H90),振り分け設定!$B$3:$B$33)</f>
        <v>#N/A</v>
      </c>
    </row>
    <row r="91" spans="1:23" x14ac:dyDescent="0.4">
      <c r="A91" t="s">
        <v>118</v>
      </c>
      <c r="B91" t="s">
        <v>118</v>
      </c>
      <c r="W91" t="e" cm="1">
        <f t="array" ref="W91">LOOKUP(0,0/FIND(振り分け設定!$A$3:$A$33,H91),振り分け設定!$B$3:$B$33)</f>
        <v>#N/A</v>
      </c>
    </row>
    <row r="92" spans="1:23" x14ac:dyDescent="0.4">
      <c r="A92" t="s">
        <v>118</v>
      </c>
      <c r="B92" t="s">
        <v>118</v>
      </c>
      <c r="W92" t="e" cm="1">
        <f t="array" ref="W92">LOOKUP(0,0/FIND(振り分け設定!$A$3:$A$33,H92),振り分け設定!$B$3:$B$33)</f>
        <v>#N/A</v>
      </c>
    </row>
    <row r="93" spans="1:23" x14ac:dyDescent="0.4">
      <c r="A93" t="s">
        <v>118</v>
      </c>
      <c r="B93" t="s">
        <v>118</v>
      </c>
      <c r="W93" t="e" cm="1">
        <f t="array" ref="W93">LOOKUP(0,0/FIND(振り分け設定!$A$3:$A$33,H93),振り分け設定!$B$3:$B$33)</f>
        <v>#N/A</v>
      </c>
    </row>
    <row r="94" spans="1:23" x14ac:dyDescent="0.4">
      <c r="A94" t="s">
        <v>118</v>
      </c>
      <c r="B94" t="s">
        <v>118</v>
      </c>
      <c r="W94" t="e" cm="1">
        <f t="array" ref="W94">LOOKUP(0,0/FIND(振り分け設定!$A$3:$A$33,H94),振り分け設定!$B$3:$B$33)</f>
        <v>#N/A</v>
      </c>
    </row>
    <row r="95" spans="1:23" x14ac:dyDescent="0.4">
      <c r="A95" t="s">
        <v>118</v>
      </c>
      <c r="B95" t="s">
        <v>118</v>
      </c>
      <c r="W95" t="e" cm="1">
        <f t="array" ref="W95">LOOKUP(0,0/FIND(振り分け設定!$A$3:$A$33,H95),振り分け設定!$B$3:$B$33)</f>
        <v>#N/A</v>
      </c>
    </row>
    <row r="96" spans="1:23" x14ac:dyDescent="0.4">
      <c r="A96" t="s">
        <v>118</v>
      </c>
      <c r="B96" t="s">
        <v>118</v>
      </c>
      <c r="W96" t="e" cm="1">
        <f t="array" ref="W96">LOOKUP(0,0/FIND(振り分け設定!$A$3:$A$33,H96),振り分け設定!$B$3:$B$33)</f>
        <v>#N/A</v>
      </c>
    </row>
    <row r="97" spans="1:23" x14ac:dyDescent="0.4">
      <c r="A97" t="s">
        <v>118</v>
      </c>
      <c r="B97" t="s">
        <v>118</v>
      </c>
      <c r="W97" t="e" cm="1">
        <f t="array" ref="W97">LOOKUP(0,0/FIND(振り分け設定!$A$3:$A$33,H97),振り分け設定!$B$3:$B$33)</f>
        <v>#N/A</v>
      </c>
    </row>
    <row r="98" spans="1:23" x14ac:dyDescent="0.4">
      <c r="A98" t="s">
        <v>118</v>
      </c>
      <c r="B98" t="s">
        <v>118</v>
      </c>
      <c r="W98" t="e" cm="1">
        <f t="array" ref="W98">LOOKUP(0,0/FIND(振り分け設定!$A$3:$A$33,H98),振り分け設定!$B$3:$B$33)</f>
        <v>#N/A</v>
      </c>
    </row>
    <row r="99" spans="1:23" x14ac:dyDescent="0.4">
      <c r="A99" t="s">
        <v>118</v>
      </c>
      <c r="B99" t="s">
        <v>118</v>
      </c>
      <c r="W99" t="e" cm="1">
        <f t="array" ref="W99">LOOKUP(0,0/FIND(振り分け設定!$A$3:$A$33,H99),振り分け設定!$B$3:$B$33)</f>
        <v>#N/A</v>
      </c>
    </row>
    <row r="100" spans="1:23" x14ac:dyDescent="0.4">
      <c r="A100" t="s">
        <v>118</v>
      </c>
      <c r="B100" t="s">
        <v>118</v>
      </c>
      <c r="W100" t="e" cm="1">
        <f t="array" ref="W100">LOOKUP(0,0/FIND(振り分け設定!$A$3:$A$33,H100),振り分け設定!$B$3:$B$33)</f>
        <v>#N/A</v>
      </c>
    </row>
    <row r="101" spans="1:23" x14ac:dyDescent="0.4">
      <c r="A101" t="s">
        <v>118</v>
      </c>
      <c r="B101" t="s">
        <v>118</v>
      </c>
      <c r="W101" t="e" cm="1">
        <f t="array" ref="W101">LOOKUP(0,0/FIND(振り分け設定!$A$3:$A$33,H101),振り分け設定!$B$3:$B$33)</f>
        <v>#N/A</v>
      </c>
    </row>
    <row r="102" spans="1:23" x14ac:dyDescent="0.4">
      <c r="A102" t="s">
        <v>118</v>
      </c>
      <c r="B102" t="s">
        <v>118</v>
      </c>
      <c r="W102" t="e" cm="1">
        <f t="array" ref="W102">LOOKUP(0,0/FIND(振り分け設定!$A$3:$A$33,H102),振り分け設定!$B$3:$B$33)</f>
        <v>#N/A</v>
      </c>
    </row>
    <row r="103" spans="1:23" x14ac:dyDescent="0.4">
      <c r="A103" t="s">
        <v>118</v>
      </c>
      <c r="B103" t="s">
        <v>118</v>
      </c>
      <c r="W103" t="e" cm="1">
        <f t="array" ref="W103">LOOKUP(0,0/FIND(振り分け設定!$A$3:$A$33,H103),振り分け設定!$B$3:$B$33)</f>
        <v>#N/A</v>
      </c>
    </row>
    <row r="104" spans="1:23" x14ac:dyDescent="0.4">
      <c r="A104" t="s">
        <v>118</v>
      </c>
      <c r="B104" t="s">
        <v>118</v>
      </c>
      <c r="W104" t="e" cm="1">
        <f t="array" ref="W104">LOOKUP(0,0/FIND(振り分け設定!$A$3:$A$33,H104),振り分け設定!$B$3:$B$33)</f>
        <v>#N/A</v>
      </c>
    </row>
    <row r="105" spans="1:23" x14ac:dyDescent="0.4">
      <c r="A105" t="s">
        <v>118</v>
      </c>
      <c r="B105" t="s">
        <v>118</v>
      </c>
      <c r="W105" t="e" cm="1">
        <f t="array" ref="W105">LOOKUP(0,0/FIND(振り分け設定!$A$3:$A$33,H105),振り分け設定!$B$3:$B$33)</f>
        <v>#N/A</v>
      </c>
    </row>
    <row r="106" spans="1:23" x14ac:dyDescent="0.4">
      <c r="A106" t="s">
        <v>118</v>
      </c>
      <c r="B106" t="s">
        <v>118</v>
      </c>
      <c r="W106" t="e" cm="1">
        <f t="array" ref="W106">LOOKUP(0,0/FIND(振り分け設定!$A$3:$A$33,H106),振り分け設定!$B$3:$B$33)</f>
        <v>#N/A</v>
      </c>
    </row>
    <row r="107" spans="1:23" x14ac:dyDescent="0.4">
      <c r="A107" t="s">
        <v>118</v>
      </c>
      <c r="B107" t="s">
        <v>118</v>
      </c>
      <c r="W107" t="e" cm="1">
        <f t="array" ref="W107">LOOKUP(0,0/FIND(振り分け設定!$A$3:$A$33,H107),振り分け設定!$B$3:$B$33)</f>
        <v>#N/A</v>
      </c>
    </row>
    <row r="108" spans="1:23" x14ac:dyDescent="0.4">
      <c r="A108" t="s">
        <v>118</v>
      </c>
      <c r="B108" t="s">
        <v>118</v>
      </c>
      <c r="W108" t="e" cm="1">
        <f t="array" ref="W108">LOOKUP(0,0/FIND(振り分け設定!$A$3:$A$33,H108),振り分け設定!$B$3:$B$33)</f>
        <v>#N/A</v>
      </c>
    </row>
    <row r="109" spans="1:23" x14ac:dyDescent="0.4">
      <c r="A109" t="s">
        <v>118</v>
      </c>
      <c r="B109" t="s">
        <v>118</v>
      </c>
      <c r="W109" t="e" cm="1">
        <f t="array" ref="W109">LOOKUP(0,0/FIND(振り分け設定!$A$3:$A$33,H109),振り分け設定!$B$3:$B$33)</f>
        <v>#N/A</v>
      </c>
    </row>
    <row r="110" spans="1:23" x14ac:dyDescent="0.4">
      <c r="A110" t="s">
        <v>118</v>
      </c>
      <c r="B110" t="s">
        <v>118</v>
      </c>
      <c r="W110" t="e" cm="1">
        <f t="array" ref="W110">LOOKUP(0,0/FIND(振り分け設定!$A$3:$A$33,H110),振り分け設定!$B$3:$B$33)</f>
        <v>#N/A</v>
      </c>
    </row>
    <row r="111" spans="1:23" x14ac:dyDescent="0.4">
      <c r="A111" t="s">
        <v>118</v>
      </c>
      <c r="B111" t="s">
        <v>118</v>
      </c>
      <c r="W111" t="e" cm="1">
        <f t="array" ref="W111">LOOKUP(0,0/FIND(振り分け設定!$A$3:$A$33,H111),振り分け設定!$B$3:$B$33)</f>
        <v>#N/A</v>
      </c>
    </row>
    <row r="112" spans="1:23" x14ac:dyDescent="0.4">
      <c r="A112" t="s">
        <v>118</v>
      </c>
      <c r="B112" t="s">
        <v>118</v>
      </c>
      <c r="W112" t="e" cm="1">
        <f t="array" ref="W112">LOOKUP(0,0/FIND(振り分け設定!$A$3:$A$33,H112),振り分け設定!$B$3:$B$33)</f>
        <v>#N/A</v>
      </c>
    </row>
    <row r="113" spans="1:23" x14ac:dyDescent="0.4">
      <c r="A113" t="s">
        <v>118</v>
      </c>
      <c r="B113" t="s">
        <v>118</v>
      </c>
      <c r="W113" t="e" cm="1">
        <f t="array" ref="W113">LOOKUP(0,0/FIND(振り分け設定!$A$3:$A$33,H113),振り分け設定!$B$3:$B$33)</f>
        <v>#N/A</v>
      </c>
    </row>
    <row r="114" spans="1:23" x14ac:dyDescent="0.4">
      <c r="A114" t="s">
        <v>118</v>
      </c>
      <c r="B114" t="s">
        <v>118</v>
      </c>
      <c r="W114" t="e" cm="1">
        <f t="array" ref="W114">LOOKUP(0,0/FIND(振り分け設定!$A$3:$A$33,H114),振り分け設定!$B$3:$B$33)</f>
        <v>#N/A</v>
      </c>
    </row>
    <row r="115" spans="1:23" x14ac:dyDescent="0.4">
      <c r="A115" t="s">
        <v>118</v>
      </c>
      <c r="B115" t="s">
        <v>118</v>
      </c>
      <c r="W115" t="e" cm="1">
        <f t="array" ref="W115">LOOKUP(0,0/FIND(振り分け設定!$A$3:$A$33,H115),振り分け設定!$B$3:$B$33)</f>
        <v>#N/A</v>
      </c>
    </row>
    <row r="116" spans="1:23" x14ac:dyDescent="0.4">
      <c r="A116" t="s">
        <v>118</v>
      </c>
      <c r="B116" t="s">
        <v>118</v>
      </c>
      <c r="W116" t="e" cm="1">
        <f t="array" ref="W116">LOOKUP(0,0/FIND(振り分け設定!$A$3:$A$33,H116),振り分け設定!$B$3:$B$33)</f>
        <v>#N/A</v>
      </c>
    </row>
    <row r="117" spans="1:23" x14ac:dyDescent="0.4">
      <c r="A117" t="s">
        <v>118</v>
      </c>
      <c r="B117" t="s">
        <v>118</v>
      </c>
      <c r="W117" t="e" cm="1">
        <f t="array" ref="W117">LOOKUP(0,0/FIND(振り分け設定!$A$3:$A$33,H117),振り分け設定!$B$3:$B$33)</f>
        <v>#N/A</v>
      </c>
    </row>
    <row r="118" spans="1:23" x14ac:dyDescent="0.4">
      <c r="A118" t="s">
        <v>118</v>
      </c>
      <c r="B118" t="s">
        <v>118</v>
      </c>
      <c r="W118" t="e" cm="1">
        <f t="array" ref="W118">LOOKUP(0,0/FIND(振り分け設定!$A$3:$A$33,H118),振り分け設定!$B$3:$B$33)</f>
        <v>#N/A</v>
      </c>
    </row>
    <row r="119" spans="1:23" x14ac:dyDescent="0.4">
      <c r="A119" t="s">
        <v>118</v>
      </c>
      <c r="B119" t="s">
        <v>118</v>
      </c>
      <c r="W119" t="e" cm="1">
        <f t="array" ref="W119">LOOKUP(0,0/FIND(振り分け設定!$A$3:$A$33,H119),振り分け設定!$B$3:$B$33)</f>
        <v>#N/A</v>
      </c>
    </row>
    <row r="120" spans="1:23" x14ac:dyDescent="0.4">
      <c r="A120" t="s">
        <v>118</v>
      </c>
      <c r="B120" t="s">
        <v>118</v>
      </c>
      <c r="W120" t="e" cm="1">
        <f t="array" ref="W120">LOOKUP(0,0/FIND(振り分け設定!$A$3:$A$33,H120),振り分け設定!$B$3:$B$33)</f>
        <v>#N/A</v>
      </c>
    </row>
    <row r="121" spans="1:23" x14ac:dyDescent="0.4">
      <c r="A121" t="s">
        <v>118</v>
      </c>
      <c r="B121" t="s">
        <v>118</v>
      </c>
      <c r="W121" t="e" cm="1">
        <f t="array" ref="W121">LOOKUP(0,0/FIND(振り分け設定!$A$3:$A$33,H121),振り分け設定!$B$3:$B$33)</f>
        <v>#N/A</v>
      </c>
    </row>
    <row r="122" spans="1:23" x14ac:dyDescent="0.4">
      <c r="A122" t="s">
        <v>118</v>
      </c>
      <c r="B122" t="s">
        <v>118</v>
      </c>
      <c r="W122" t="e" cm="1">
        <f t="array" ref="W122">LOOKUP(0,0/FIND(振り分け設定!$A$3:$A$33,H122),振り分け設定!$B$3:$B$33)</f>
        <v>#N/A</v>
      </c>
    </row>
    <row r="123" spans="1:23" x14ac:dyDescent="0.4">
      <c r="A123" t="s">
        <v>118</v>
      </c>
      <c r="B123" t="s">
        <v>118</v>
      </c>
      <c r="W123" t="e" cm="1">
        <f t="array" ref="W123">LOOKUP(0,0/FIND(振り分け設定!$A$3:$A$33,H123),振り分け設定!$B$3:$B$33)</f>
        <v>#N/A</v>
      </c>
    </row>
    <row r="124" spans="1:23" x14ac:dyDescent="0.4">
      <c r="A124" t="s">
        <v>118</v>
      </c>
      <c r="B124" t="s">
        <v>118</v>
      </c>
      <c r="W124" t="e" cm="1">
        <f t="array" ref="W124">LOOKUP(0,0/FIND(振り分け設定!$A$3:$A$33,H124),振り分け設定!$B$3:$B$33)</f>
        <v>#N/A</v>
      </c>
    </row>
    <row r="125" spans="1:23" x14ac:dyDescent="0.4">
      <c r="A125" t="s">
        <v>118</v>
      </c>
      <c r="B125" t="s">
        <v>118</v>
      </c>
      <c r="W125" t="e" cm="1">
        <f t="array" ref="W125">LOOKUP(0,0/FIND(振り分け設定!$A$3:$A$33,H125),振り分け設定!$B$3:$B$33)</f>
        <v>#N/A</v>
      </c>
    </row>
    <row r="126" spans="1:23" x14ac:dyDescent="0.4">
      <c r="A126" t="s">
        <v>118</v>
      </c>
      <c r="B126" t="s">
        <v>118</v>
      </c>
      <c r="W126" t="e" cm="1">
        <f t="array" ref="W126">LOOKUP(0,0/FIND(振り分け設定!$A$3:$A$33,H126),振り分け設定!$B$3:$B$33)</f>
        <v>#N/A</v>
      </c>
    </row>
    <row r="127" spans="1:23" x14ac:dyDescent="0.4">
      <c r="A127" t="s">
        <v>118</v>
      </c>
      <c r="B127" t="s">
        <v>118</v>
      </c>
      <c r="W127" t="e" cm="1">
        <f t="array" ref="W127">LOOKUP(0,0/FIND(振り分け設定!$A$3:$A$33,H127),振り分け設定!$B$3:$B$33)</f>
        <v>#N/A</v>
      </c>
    </row>
    <row r="128" spans="1:23" x14ac:dyDescent="0.4">
      <c r="A128" t="s">
        <v>118</v>
      </c>
      <c r="B128" t="s">
        <v>118</v>
      </c>
    </row>
    <row r="129" spans="1:2" x14ac:dyDescent="0.4">
      <c r="A129" t="s">
        <v>118</v>
      </c>
      <c r="B129" t="s">
        <v>118</v>
      </c>
    </row>
    <row r="130" spans="1:2" x14ac:dyDescent="0.4">
      <c r="A130" t="s">
        <v>118</v>
      </c>
      <c r="B130" t="s">
        <v>118</v>
      </c>
    </row>
    <row r="131" spans="1:2" x14ac:dyDescent="0.4">
      <c r="A131" t="s">
        <v>118</v>
      </c>
      <c r="B131" t="s">
        <v>118</v>
      </c>
    </row>
    <row r="132" spans="1:2" x14ac:dyDescent="0.4">
      <c r="A132" t="s">
        <v>118</v>
      </c>
      <c r="B132" t="s">
        <v>118</v>
      </c>
    </row>
    <row r="133" spans="1:2" x14ac:dyDescent="0.4">
      <c r="A133" t="s">
        <v>118</v>
      </c>
      <c r="B133" t="s">
        <v>118</v>
      </c>
    </row>
    <row r="134" spans="1:2" x14ac:dyDescent="0.4">
      <c r="A134" t="s">
        <v>118</v>
      </c>
      <c r="B134" t="s">
        <v>118</v>
      </c>
    </row>
    <row r="135" spans="1:2" x14ac:dyDescent="0.4">
      <c r="A135" t="s">
        <v>118</v>
      </c>
      <c r="B135" t="s">
        <v>118</v>
      </c>
    </row>
    <row r="136" spans="1:2" x14ac:dyDescent="0.4">
      <c r="A136" t="s">
        <v>118</v>
      </c>
      <c r="B136" t="s">
        <v>118</v>
      </c>
    </row>
    <row r="137" spans="1:2" x14ac:dyDescent="0.4">
      <c r="A137" t="s">
        <v>118</v>
      </c>
      <c r="B137" t="s">
        <v>118</v>
      </c>
    </row>
    <row r="138" spans="1:2" x14ac:dyDescent="0.4">
      <c r="A138" t="s">
        <v>118</v>
      </c>
      <c r="B138" t="s">
        <v>118</v>
      </c>
    </row>
    <row r="139" spans="1:2" x14ac:dyDescent="0.4">
      <c r="A139" t="s">
        <v>118</v>
      </c>
      <c r="B139" t="s">
        <v>118</v>
      </c>
    </row>
    <row r="140" spans="1:2" x14ac:dyDescent="0.4">
      <c r="A140" t="s">
        <v>118</v>
      </c>
      <c r="B140" t="s">
        <v>118</v>
      </c>
    </row>
    <row r="141" spans="1:2" x14ac:dyDescent="0.4">
      <c r="A141" t="s">
        <v>118</v>
      </c>
      <c r="B141" t="s">
        <v>118</v>
      </c>
    </row>
    <row r="142" spans="1:2" x14ac:dyDescent="0.4">
      <c r="A142" t="s">
        <v>118</v>
      </c>
      <c r="B142" t="s">
        <v>118</v>
      </c>
    </row>
    <row r="143" spans="1:2" x14ac:dyDescent="0.4">
      <c r="A143" t="s">
        <v>118</v>
      </c>
      <c r="B143" t="s">
        <v>118</v>
      </c>
    </row>
    <row r="144" spans="1:2" x14ac:dyDescent="0.4">
      <c r="A144" t="s">
        <v>118</v>
      </c>
      <c r="B144" t="s">
        <v>118</v>
      </c>
    </row>
    <row r="145" spans="1:2" x14ac:dyDescent="0.4">
      <c r="A145" t="s">
        <v>118</v>
      </c>
      <c r="B145" t="s">
        <v>118</v>
      </c>
    </row>
    <row r="146" spans="1:2" x14ac:dyDescent="0.4">
      <c r="A146" t="s">
        <v>118</v>
      </c>
      <c r="B146" t="s">
        <v>118</v>
      </c>
    </row>
    <row r="147" spans="1:2" x14ac:dyDescent="0.4">
      <c r="A147" t="s">
        <v>118</v>
      </c>
      <c r="B147" t="s">
        <v>118</v>
      </c>
    </row>
    <row r="148" spans="1:2" x14ac:dyDescent="0.4">
      <c r="A148" t="s">
        <v>118</v>
      </c>
      <c r="B148" t="s">
        <v>118</v>
      </c>
    </row>
    <row r="149" spans="1:2" x14ac:dyDescent="0.4">
      <c r="A149" t="s">
        <v>118</v>
      </c>
      <c r="B149" t="s">
        <v>118</v>
      </c>
    </row>
    <row r="150" spans="1:2" x14ac:dyDescent="0.4">
      <c r="A150" t="s">
        <v>118</v>
      </c>
      <c r="B150" t="s">
        <v>118</v>
      </c>
    </row>
    <row r="151" spans="1:2" x14ac:dyDescent="0.4">
      <c r="A151" t="s">
        <v>118</v>
      </c>
      <c r="B151" t="s">
        <v>118</v>
      </c>
    </row>
    <row r="152" spans="1:2" x14ac:dyDescent="0.4">
      <c r="A152" t="s">
        <v>118</v>
      </c>
      <c r="B152" t="s">
        <v>118</v>
      </c>
    </row>
    <row r="153" spans="1:2" x14ac:dyDescent="0.4">
      <c r="A153" t="s">
        <v>118</v>
      </c>
      <c r="B153" t="s">
        <v>118</v>
      </c>
    </row>
    <row r="154" spans="1:2" x14ac:dyDescent="0.4">
      <c r="A154" t="s">
        <v>118</v>
      </c>
      <c r="B154" t="s">
        <v>118</v>
      </c>
    </row>
    <row r="155" spans="1:2" x14ac:dyDescent="0.4">
      <c r="A155" t="s">
        <v>118</v>
      </c>
      <c r="B155" t="s">
        <v>118</v>
      </c>
    </row>
    <row r="156" spans="1:2" x14ac:dyDescent="0.4">
      <c r="A156" t="s">
        <v>118</v>
      </c>
      <c r="B156" t="s">
        <v>118</v>
      </c>
    </row>
    <row r="157" spans="1:2" x14ac:dyDescent="0.4">
      <c r="A157" t="s">
        <v>118</v>
      </c>
      <c r="B157" t="s">
        <v>118</v>
      </c>
    </row>
    <row r="158" spans="1:2" x14ac:dyDescent="0.4">
      <c r="A158" t="s">
        <v>118</v>
      </c>
      <c r="B158" t="s">
        <v>118</v>
      </c>
    </row>
    <row r="159" spans="1:2" x14ac:dyDescent="0.4">
      <c r="A159" t="s">
        <v>118</v>
      </c>
      <c r="B159" t="s">
        <v>118</v>
      </c>
    </row>
    <row r="160" spans="1:2" x14ac:dyDescent="0.4">
      <c r="A160" t="s">
        <v>118</v>
      </c>
      <c r="B160" t="s">
        <v>118</v>
      </c>
    </row>
    <row r="161" spans="1:2" x14ac:dyDescent="0.4">
      <c r="A161" t="s">
        <v>118</v>
      </c>
      <c r="B161" t="s">
        <v>118</v>
      </c>
    </row>
    <row r="162" spans="1:2" x14ac:dyDescent="0.4">
      <c r="A162" t="s">
        <v>118</v>
      </c>
      <c r="B162" t="s">
        <v>118</v>
      </c>
    </row>
    <row r="163" spans="1:2" x14ac:dyDescent="0.4">
      <c r="A163" t="s">
        <v>118</v>
      </c>
      <c r="B163" t="s">
        <v>118</v>
      </c>
    </row>
    <row r="164" spans="1:2" x14ac:dyDescent="0.4">
      <c r="A164" t="s">
        <v>118</v>
      </c>
      <c r="B164" t="s">
        <v>118</v>
      </c>
    </row>
    <row r="165" spans="1:2" x14ac:dyDescent="0.4">
      <c r="A165" t="s">
        <v>118</v>
      </c>
      <c r="B165" t="s">
        <v>118</v>
      </c>
    </row>
    <row r="166" spans="1:2" x14ac:dyDescent="0.4">
      <c r="A166" t="s">
        <v>118</v>
      </c>
      <c r="B166" t="s">
        <v>118</v>
      </c>
    </row>
    <row r="167" spans="1:2" x14ac:dyDescent="0.4">
      <c r="A167" t="s">
        <v>118</v>
      </c>
      <c r="B167" t="s">
        <v>118</v>
      </c>
    </row>
    <row r="168" spans="1:2" x14ac:dyDescent="0.4">
      <c r="A168" t="s">
        <v>118</v>
      </c>
      <c r="B168" t="s">
        <v>118</v>
      </c>
    </row>
    <row r="169" spans="1:2" x14ac:dyDescent="0.4">
      <c r="A169" t="s">
        <v>118</v>
      </c>
      <c r="B169" t="s">
        <v>118</v>
      </c>
    </row>
    <row r="170" spans="1:2" x14ac:dyDescent="0.4">
      <c r="A170" t="s">
        <v>118</v>
      </c>
      <c r="B170" t="s">
        <v>118</v>
      </c>
    </row>
    <row r="171" spans="1:2" x14ac:dyDescent="0.4">
      <c r="A171" t="s">
        <v>118</v>
      </c>
      <c r="B171" t="s">
        <v>118</v>
      </c>
    </row>
    <row r="172" spans="1:2" x14ac:dyDescent="0.4">
      <c r="A172" t="s">
        <v>118</v>
      </c>
      <c r="B172" t="s">
        <v>118</v>
      </c>
    </row>
    <row r="173" spans="1:2" x14ac:dyDescent="0.4">
      <c r="A173" t="s">
        <v>118</v>
      </c>
      <c r="B173" t="s">
        <v>118</v>
      </c>
    </row>
    <row r="174" spans="1:2" x14ac:dyDescent="0.4">
      <c r="A174" t="s">
        <v>118</v>
      </c>
      <c r="B174" t="s">
        <v>118</v>
      </c>
    </row>
    <row r="175" spans="1:2" x14ac:dyDescent="0.4">
      <c r="A175" t="s">
        <v>118</v>
      </c>
      <c r="B175" t="s">
        <v>118</v>
      </c>
    </row>
    <row r="176" spans="1:2" x14ac:dyDescent="0.4">
      <c r="A176" t="s">
        <v>118</v>
      </c>
      <c r="B176" t="s">
        <v>118</v>
      </c>
    </row>
    <row r="177" spans="1:2" x14ac:dyDescent="0.4">
      <c r="A177" t="s">
        <v>118</v>
      </c>
      <c r="B177" t="s">
        <v>118</v>
      </c>
    </row>
    <row r="178" spans="1:2" x14ac:dyDescent="0.4">
      <c r="A178" t="s">
        <v>118</v>
      </c>
      <c r="B178" t="s">
        <v>118</v>
      </c>
    </row>
    <row r="179" spans="1:2" x14ac:dyDescent="0.4">
      <c r="A179" t="s">
        <v>118</v>
      </c>
      <c r="B179" t="s">
        <v>118</v>
      </c>
    </row>
    <row r="180" spans="1:2" x14ac:dyDescent="0.4">
      <c r="A180" t="s">
        <v>118</v>
      </c>
      <c r="B180" t="s">
        <v>118</v>
      </c>
    </row>
    <row r="181" spans="1:2" x14ac:dyDescent="0.4">
      <c r="A181" t="s">
        <v>118</v>
      </c>
      <c r="B181" t="s">
        <v>118</v>
      </c>
    </row>
    <row r="182" spans="1:2" x14ac:dyDescent="0.4">
      <c r="A182" t="s">
        <v>118</v>
      </c>
      <c r="B182" t="s">
        <v>118</v>
      </c>
    </row>
    <row r="183" spans="1:2" x14ac:dyDescent="0.4">
      <c r="A183" t="s">
        <v>118</v>
      </c>
      <c r="B183" t="s">
        <v>118</v>
      </c>
    </row>
    <row r="184" spans="1:2" x14ac:dyDescent="0.4">
      <c r="A184" t="s">
        <v>118</v>
      </c>
      <c r="B184" t="s">
        <v>118</v>
      </c>
    </row>
    <row r="185" spans="1:2" x14ac:dyDescent="0.4">
      <c r="A185" t="s">
        <v>118</v>
      </c>
      <c r="B185" t="s">
        <v>118</v>
      </c>
    </row>
    <row r="186" spans="1:2" x14ac:dyDescent="0.4">
      <c r="A186" t="s">
        <v>118</v>
      </c>
      <c r="B186" t="s">
        <v>118</v>
      </c>
    </row>
    <row r="187" spans="1:2" x14ac:dyDescent="0.4">
      <c r="A187" t="s">
        <v>118</v>
      </c>
      <c r="B187" t="s">
        <v>118</v>
      </c>
    </row>
    <row r="188" spans="1:2" x14ac:dyDescent="0.4">
      <c r="A188" t="s">
        <v>118</v>
      </c>
      <c r="B188" t="s">
        <v>118</v>
      </c>
    </row>
    <row r="189" spans="1:2" x14ac:dyDescent="0.4">
      <c r="A189" t="s">
        <v>118</v>
      </c>
      <c r="B189" t="s">
        <v>118</v>
      </c>
    </row>
    <row r="190" spans="1:2" x14ac:dyDescent="0.4">
      <c r="A190" t="s">
        <v>118</v>
      </c>
      <c r="B190" t="s">
        <v>118</v>
      </c>
    </row>
    <row r="191" spans="1:2" x14ac:dyDescent="0.4">
      <c r="A191" t="s">
        <v>118</v>
      </c>
      <c r="B191" t="s">
        <v>118</v>
      </c>
    </row>
    <row r="192" spans="1:2" x14ac:dyDescent="0.4">
      <c r="A192" t="s">
        <v>118</v>
      </c>
      <c r="B192" t="s">
        <v>118</v>
      </c>
    </row>
    <row r="193" spans="1:2" x14ac:dyDescent="0.4">
      <c r="A193" t="s">
        <v>118</v>
      </c>
      <c r="B193" t="s">
        <v>118</v>
      </c>
    </row>
    <row r="194" spans="1:2" x14ac:dyDescent="0.4">
      <c r="A194" t="s">
        <v>118</v>
      </c>
      <c r="B194" t="s">
        <v>118</v>
      </c>
    </row>
    <row r="195" spans="1:2" x14ac:dyDescent="0.4">
      <c r="A195" t="s">
        <v>118</v>
      </c>
      <c r="B195" t="s">
        <v>118</v>
      </c>
    </row>
    <row r="196" spans="1:2" x14ac:dyDescent="0.4">
      <c r="A196" t="s">
        <v>118</v>
      </c>
      <c r="B196" t="s">
        <v>118</v>
      </c>
    </row>
    <row r="197" spans="1:2" x14ac:dyDescent="0.4">
      <c r="A197" t="s">
        <v>118</v>
      </c>
      <c r="B197" t="s">
        <v>118</v>
      </c>
    </row>
    <row r="198" spans="1:2" x14ac:dyDescent="0.4">
      <c r="A198" t="s">
        <v>118</v>
      </c>
      <c r="B198" t="s">
        <v>118</v>
      </c>
    </row>
    <row r="199" spans="1:2" x14ac:dyDescent="0.4">
      <c r="A199" t="s">
        <v>118</v>
      </c>
      <c r="B199" t="s">
        <v>118</v>
      </c>
    </row>
    <row r="200" spans="1:2" x14ac:dyDescent="0.4">
      <c r="A200" t="s">
        <v>118</v>
      </c>
      <c r="B200" t="s">
        <v>118</v>
      </c>
    </row>
    <row r="201" spans="1:2" x14ac:dyDescent="0.4">
      <c r="A201" t="s">
        <v>118</v>
      </c>
      <c r="B201" t="s">
        <v>118</v>
      </c>
    </row>
    <row r="202" spans="1:2" x14ac:dyDescent="0.4">
      <c r="A202" t="s">
        <v>118</v>
      </c>
      <c r="B202" t="s">
        <v>118</v>
      </c>
    </row>
    <row r="203" spans="1:2" x14ac:dyDescent="0.4">
      <c r="A203" t="s">
        <v>118</v>
      </c>
      <c r="B203" t="s">
        <v>118</v>
      </c>
    </row>
    <row r="204" spans="1:2" x14ac:dyDescent="0.4">
      <c r="A204" t="s">
        <v>118</v>
      </c>
      <c r="B204" t="s">
        <v>118</v>
      </c>
    </row>
    <row r="205" spans="1:2" x14ac:dyDescent="0.4">
      <c r="A205" t="s">
        <v>118</v>
      </c>
      <c r="B205" t="s">
        <v>118</v>
      </c>
    </row>
    <row r="206" spans="1:2" x14ac:dyDescent="0.4">
      <c r="A206" t="s">
        <v>118</v>
      </c>
      <c r="B206" t="s">
        <v>118</v>
      </c>
    </row>
    <row r="207" spans="1:2" x14ac:dyDescent="0.4">
      <c r="A207" t="s">
        <v>118</v>
      </c>
      <c r="B207" t="s">
        <v>118</v>
      </c>
    </row>
    <row r="208" spans="1:2" x14ac:dyDescent="0.4">
      <c r="A208" t="s">
        <v>118</v>
      </c>
      <c r="B208" t="s">
        <v>118</v>
      </c>
    </row>
    <row r="209" spans="1:2" x14ac:dyDescent="0.4">
      <c r="A209" t="s">
        <v>118</v>
      </c>
      <c r="B209" t="s">
        <v>118</v>
      </c>
    </row>
    <row r="210" spans="1:2" x14ac:dyDescent="0.4">
      <c r="A210" t="s">
        <v>118</v>
      </c>
      <c r="B210" t="s">
        <v>118</v>
      </c>
    </row>
    <row r="211" spans="1:2" x14ac:dyDescent="0.4">
      <c r="A211" t="s">
        <v>118</v>
      </c>
      <c r="B211" t="s">
        <v>118</v>
      </c>
    </row>
    <row r="212" spans="1:2" x14ac:dyDescent="0.4">
      <c r="A212" t="s">
        <v>118</v>
      </c>
      <c r="B212" t="s">
        <v>118</v>
      </c>
    </row>
    <row r="213" spans="1:2" x14ac:dyDescent="0.4">
      <c r="A213" t="s">
        <v>118</v>
      </c>
      <c r="B213" t="s">
        <v>118</v>
      </c>
    </row>
    <row r="214" spans="1:2" x14ac:dyDescent="0.4">
      <c r="A214" t="s">
        <v>118</v>
      </c>
      <c r="B214" t="s">
        <v>118</v>
      </c>
    </row>
    <row r="215" spans="1:2" x14ac:dyDescent="0.4">
      <c r="A215" t="s">
        <v>118</v>
      </c>
      <c r="B215" t="s">
        <v>118</v>
      </c>
    </row>
    <row r="216" spans="1:2" x14ac:dyDescent="0.4">
      <c r="A216" t="s">
        <v>118</v>
      </c>
      <c r="B216" t="s">
        <v>118</v>
      </c>
    </row>
    <row r="217" spans="1:2" x14ac:dyDescent="0.4">
      <c r="A217" t="s">
        <v>118</v>
      </c>
      <c r="B217" t="s">
        <v>118</v>
      </c>
    </row>
    <row r="218" spans="1:2" x14ac:dyDescent="0.4">
      <c r="A218" t="s">
        <v>118</v>
      </c>
      <c r="B218" t="s">
        <v>118</v>
      </c>
    </row>
    <row r="219" spans="1:2" x14ac:dyDescent="0.4">
      <c r="A219" t="s">
        <v>118</v>
      </c>
      <c r="B219" t="s">
        <v>118</v>
      </c>
    </row>
    <row r="220" spans="1:2" x14ac:dyDescent="0.4">
      <c r="A220" t="s">
        <v>118</v>
      </c>
      <c r="B220" t="s">
        <v>118</v>
      </c>
    </row>
    <row r="221" spans="1:2" x14ac:dyDescent="0.4">
      <c r="A221" t="s">
        <v>118</v>
      </c>
      <c r="B221" t="s">
        <v>118</v>
      </c>
    </row>
    <row r="222" spans="1:2" x14ac:dyDescent="0.4">
      <c r="A222" t="s">
        <v>118</v>
      </c>
      <c r="B222" t="s">
        <v>118</v>
      </c>
    </row>
    <row r="223" spans="1:2" x14ac:dyDescent="0.4">
      <c r="A223" t="s">
        <v>118</v>
      </c>
      <c r="B223" t="s">
        <v>118</v>
      </c>
    </row>
    <row r="224" spans="1:2" x14ac:dyDescent="0.4">
      <c r="A224" t="s">
        <v>118</v>
      </c>
      <c r="B224" t="s">
        <v>118</v>
      </c>
    </row>
    <row r="225" spans="1:2" x14ac:dyDescent="0.4">
      <c r="A225" t="s">
        <v>118</v>
      </c>
      <c r="B225" t="s">
        <v>118</v>
      </c>
    </row>
    <row r="226" spans="1:2" x14ac:dyDescent="0.4">
      <c r="A226" t="s">
        <v>118</v>
      </c>
      <c r="B226" t="s">
        <v>118</v>
      </c>
    </row>
    <row r="227" spans="1:2" x14ac:dyDescent="0.4">
      <c r="A227" t="s">
        <v>118</v>
      </c>
      <c r="B227" t="s">
        <v>118</v>
      </c>
    </row>
    <row r="228" spans="1:2" x14ac:dyDescent="0.4">
      <c r="A228" t="s">
        <v>118</v>
      </c>
      <c r="B228" t="s">
        <v>118</v>
      </c>
    </row>
    <row r="229" spans="1:2" x14ac:dyDescent="0.4">
      <c r="A229" t="s">
        <v>118</v>
      </c>
      <c r="B229" t="s">
        <v>118</v>
      </c>
    </row>
    <row r="230" spans="1:2" x14ac:dyDescent="0.4">
      <c r="A230" t="s">
        <v>118</v>
      </c>
      <c r="B230" t="s">
        <v>118</v>
      </c>
    </row>
    <row r="231" spans="1:2" x14ac:dyDescent="0.4">
      <c r="A231" t="s">
        <v>118</v>
      </c>
      <c r="B231" t="s">
        <v>118</v>
      </c>
    </row>
    <row r="232" spans="1:2" x14ac:dyDescent="0.4">
      <c r="A232" t="s">
        <v>118</v>
      </c>
      <c r="B232" t="s">
        <v>118</v>
      </c>
    </row>
    <row r="233" spans="1:2" x14ac:dyDescent="0.4">
      <c r="A233" t="s">
        <v>118</v>
      </c>
      <c r="B233" t="s">
        <v>118</v>
      </c>
    </row>
    <row r="234" spans="1:2" x14ac:dyDescent="0.4">
      <c r="A234" t="s">
        <v>118</v>
      </c>
      <c r="B234" t="s">
        <v>118</v>
      </c>
    </row>
    <row r="235" spans="1:2" x14ac:dyDescent="0.4">
      <c r="A235" t="s">
        <v>118</v>
      </c>
      <c r="B235" t="s">
        <v>118</v>
      </c>
    </row>
    <row r="236" spans="1:2" x14ac:dyDescent="0.4">
      <c r="A236" t="s">
        <v>118</v>
      </c>
      <c r="B236" t="s">
        <v>118</v>
      </c>
    </row>
    <row r="237" spans="1:2" x14ac:dyDescent="0.4">
      <c r="A237" t="s">
        <v>118</v>
      </c>
      <c r="B237" t="s">
        <v>118</v>
      </c>
    </row>
    <row r="238" spans="1:2" x14ac:dyDescent="0.4">
      <c r="A238" t="s">
        <v>118</v>
      </c>
      <c r="B238" t="s">
        <v>118</v>
      </c>
    </row>
    <row r="239" spans="1:2" x14ac:dyDescent="0.4">
      <c r="A239" t="s">
        <v>118</v>
      </c>
      <c r="B239" t="s">
        <v>118</v>
      </c>
    </row>
    <row r="240" spans="1:2" x14ac:dyDescent="0.4">
      <c r="A240" t="s">
        <v>118</v>
      </c>
      <c r="B240" t="s">
        <v>118</v>
      </c>
    </row>
    <row r="241" spans="1:2" x14ac:dyDescent="0.4">
      <c r="A241" t="s">
        <v>118</v>
      </c>
      <c r="B241" t="s">
        <v>118</v>
      </c>
    </row>
    <row r="242" spans="1:2" x14ac:dyDescent="0.4">
      <c r="A242" t="s">
        <v>118</v>
      </c>
      <c r="B242" t="s">
        <v>118</v>
      </c>
    </row>
    <row r="243" spans="1:2" x14ac:dyDescent="0.4">
      <c r="A243" t="s">
        <v>118</v>
      </c>
      <c r="B243" t="s">
        <v>118</v>
      </c>
    </row>
    <row r="244" spans="1:2" x14ac:dyDescent="0.4">
      <c r="A244" t="s">
        <v>118</v>
      </c>
      <c r="B244" t="s">
        <v>118</v>
      </c>
    </row>
    <row r="245" spans="1:2" x14ac:dyDescent="0.4">
      <c r="A245" t="s">
        <v>118</v>
      </c>
      <c r="B245" t="s">
        <v>118</v>
      </c>
    </row>
    <row r="246" spans="1:2" x14ac:dyDescent="0.4">
      <c r="A246" t="s">
        <v>118</v>
      </c>
      <c r="B246" t="s">
        <v>118</v>
      </c>
    </row>
    <row r="247" spans="1:2" x14ac:dyDescent="0.4">
      <c r="A247" t="s">
        <v>118</v>
      </c>
      <c r="B247" t="s">
        <v>118</v>
      </c>
    </row>
    <row r="248" spans="1:2" x14ac:dyDescent="0.4">
      <c r="A248" t="s">
        <v>118</v>
      </c>
      <c r="B248" t="s">
        <v>118</v>
      </c>
    </row>
    <row r="249" spans="1:2" x14ac:dyDescent="0.4">
      <c r="A249" t="s">
        <v>118</v>
      </c>
      <c r="B249" t="s">
        <v>118</v>
      </c>
    </row>
    <row r="250" spans="1:2" x14ac:dyDescent="0.4">
      <c r="A250" t="s">
        <v>118</v>
      </c>
      <c r="B250" t="s">
        <v>118</v>
      </c>
    </row>
    <row r="251" spans="1:2" x14ac:dyDescent="0.4">
      <c r="A251" t="s">
        <v>118</v>
      </c>
      <c r="B251" t="s">
        <v>118</v>
      </c>
    </row>
    <row r="252" spans="1:2" x14ac:dyDescent="0.4">
      <c r="A252" t="s">
        <v>118</v>
      </c>
      <c r="B252" t="s">
        <v>118</v>
      </c>
    </row>
    <row r="253" spans="1:2" x14ac:dyDescent="0.4">
      <c r="A253" t="s">
        <v>118</v>
      </c>
      <c r="B253" t="s">
        <v>118</v>
      </c>
    </row>
    <row r="254" spans="1:2" x14ac:dyDescent="0.4">
      <c r="A254" t="s">
        <v>118</v>
      </c>
      <c r="B254" t="s">
        <v>118</v>
      </c>
    </row>
    <row r="255" spans="1:2" x14ac:dyDescent="0.4">
      <c r="A255" t="s">
        <v>118</v>
      </c>
      <c r="B255" t="s">
        <v>118</v>
      </c>
    </row>
    <row r="256" spans="1:2" x14ac:dyDescent="0.4">
      <c r="A256" t="s">
        <v>118</v>
      </c>
      <c r="B256" t="s">
        <v>118</v>
      </c>
    </row>
    <row r="257" spans="1:2" x14ac:dyDescent="0.4">
      <c r="A257" t="s">
        <v>118</v>
      </c>
      <c r="B257" t="s">
        <v>118</v>
      </c>
    </row>
    <row r="258" spans="1:2" x14ac:dyDescent="0.4">
      <c r="A258" t="s">
        <v>118</v>
      </c>
      <c r="B258" t="s">
        <v>118</v>
      </c>
    </row>
    <row r="259" spans="1:2" x14ac:dyDescent="0.4">
      <c r="A259" t="s">
        <v>118</v>
      </c>
      <c r="B259" t="s">
        <v>118</v>
      </c>
    </row>
    <row r="260" spans="1:2" x14ac:dyDescent="0.4">
      <c r="A260" t="s">
        <v>118</v>
      </c>
      <c r="B260" t="s">
        <v>118</v>
      </c>
    </row>
    <row r="261" spans="1:2" x14ac:dyDescent="0.4">
      <c r="A261" t="s">
        <v>118</v>
      </c>
      <c r="B261" t="s">
        <v>118</v>
      </c>
    </row>
    <row r="262" spans="1:2" x14ac:dyDescent="0.4">
      <c r="A262" t="s">
        <v>118</v>
      </c>
      <c r="B262" t="s">
        <v>118</v>
      </c>
    </row>
    <row r="263" spans="1:2" x14ac:dyDescent="0.4">
      <c r="A263" t="s">
        <v>118</v>
      </c>
      <c r="B263" t="s">
        <v>118</v>
      </c>
    </row>
    <row r="264" spans="1:2" x14ac:dyDescent="0.4">
      <c r="A264" t="s">
        <v>118</v>
      </c>
      <c r="B264" t="s">
        <v>118</v>
      </c>
    </row>
    <row r="265" spans="1:2" x14ac:dyDescent="0.4">
      <c r="A265" t="s">
        <v>118</v>
      </c>
      <c r="B265" t="s">
        <v>118</v>
      </c>
    </row>
    <row r="266" spans="1:2" x14ac:dyDescent="0.4">
      <c r="A266" t="s">
        <v>118</v>
      </c>
      <c r="B266" t="s">
        <v>118</v>
      </c>
    </row>
    <row r="267" spans="1:2" x14ac:dyDescent="0.4">
      <c r="A267" t="s">
        <v>118</v>
      </c>
      <c r="B267" t="s">
        <v>118</v>
      </c>
    </row>
    <row r="268" spans="1:2" x14ac:dyDescent="0.4">
      <c r="A268" t="s">
        <v>118</v>
      </c>
      <c r="B268" t="s">
        <v>118</v>
      </c>
    </row>
    <row r="269" spans="1:2" x14ac:dyDescent="0.4">
      <c r="A269" t="s">
        <v>118</v>
      </c>
      <c r="B269" t="s">
        <v>118</v>
      </c>
    </row>
    <row r="270" spans="1:2" x14ac:dyDescent="0.4">
      <c r="A270" t="s">
        <v>118</v>
      </c>
      <c r="B270" t="s">
        <v>118</v>
      </c>
    </row>
    <row r="271" spans="1:2" x14ac:dyDescent="0.4">
      <c r="A271" t="s">
        <v>118</v>
      </c>
      <c r="B271" t="s">
        <v>118</v>
      </c>
    </row>
    <row r="272" spans="1:2" x14ac:dyDescent="0.4">
      <c r="A272" t="s">
        <v>118</v>
      </c>
      <c r="B272" t="s">
        <v>118</v>
      </c>
    </row>
    <row r="273" spans="1:2" x14ac:dyDescent="0.4">
      <c r="A273" t="s">
        <v>118</v>
      </c>
      <c r="B273" t="s">
        <v>118</v>
      </c>
    </row>
    <row r="274" spans="1:2" x14ac:dyDescent="0.4">
      <c r="A274" t="s">
        <v>118</v>
      </c>
      <c r="B274" t="s">
        <v>118</v>
      </c>
    </row>
    <row r="275" spans="1:2" x14ac:dyDescent="0.4">
      <c r="A275" t="s">
        <v>118</v>
      </c>
      <c r="B275" t="s">
        <v>118</v>
      </c>
    </row>
    <row r="276" spans="1:2" x14ac:dyDescent="0.4">
      <c r="A276" t="s">
        <v>118</v>
      </c>
      <c r="B276" t="s">
        <v>118</v>
      </c>
    </row>
    <row r="277" spans="1:2" x14ac:dyDescent="0.4">
      <c r="A277" t="s">
        <v>118</v>
      </c>
      <c r="B277" t="s">
        <v>118</v>
      </c>
    </row>
    <row r="278" spans="1:2" x14ac:dyDescent="0.4">
      <c r="A278" t="s">
        <v>118</v>
      </c>
      <c r="B278" t="s">
        <v>118</v>
      </c>
    </row>
    <row r="279" spans="1:2" x14ac:dyDescent="0.4">
      <c r="A279" t="s">
        <v>118</v>
      </c>
      <c r="B279" t="s">
        <v>118</v>
      </c>
    </row>
    <row r="280" spans="1:2" x14ac:dyDescent="0.4">
      <c r="A280" t="s">
        <v>118</v>
      </c>
      <c r="B280" t="s">
        <v>118</v>
      </c>
    </row>
    <row r="281" spans="1:2" x14ac:dyDescent="0.4">
      <c r="A281" t="s">
        <v>118</v>
      </c>
      <c r="B281" t="s">
        <v>118</v>
      </c>
    </row>
    <row r="282" spans="1:2" x14ac:dyDescent="0.4">
      <c r="A282" t="s">
        <v>118</v>
      </c>
      <c r="B282" t="s">
        <v>118</v>
      </c>
    </row>
    <row r="283" spans="1:2" x14ac:dyDescent="0.4">
      <c r="A283" t="s">
        <v>118</v>
      </c>
      <c r="B283" t="s">
        <v>118</v>
      </c>
    </row>
    <row r="284" spans="1:2" x14ac:dyDescent="0.4">
      <c r="A284" t="s">
        <v>118</v>
      </c>
      <c r="B284" t="s">
        <v>118</v>
      </c>
    </row>
    <row r="285" spans="1:2" x14ac:dyDescent="0.4">
      <c r="A285" t="s">
        <v>118</v>
      </c>
      <c r="B285" t="s">
        <v>118</v>
      </c>
    </row>
    <row r="286" spans="1:2" x14ac:dyDescent="0.4">
      <c r="A286" t="s">
        <v>118</v>
      </c>
      <c r="B286" t="s">
        <v>118</v>
      </c>
    </row>
    <row r="287" spans="1:2" x14ac:dyDescent="0.4">
      <c r="A287" t="s">
        <v>118</v>
      </c>
      <c r="B287" t="s">
        <v>118</v>
      </c>
    </row>
    <row r="288" spans="1:2" x14ac:dyDescent="0.4">
      <c r="A288" t="s">
        <v>118</v>
      </c>
      <c r="B288" t="s">
        <v>118</v>
      </c>
    </row>
    <row r="289" spans="1:2" x14ac:dyDescent="0.4">
      <c r="A289" t="s">
        <v>118</v>
      </c>
      <c r="B289" t="s">
        <v>118</v>
      </c>
    </row>
    <row r="290" spans="1:2" x14ac:dyDescent="0.4">
      <c r="A290" t="s">
        <v>118</v>
      </c>
      <c r="B290" t="s">
        <v>118</v>
      </c>
    </row>
    <row r="291" spans="1:2" x14ac:dyDescent="0.4">
      <c r="A291" t="s">
        <v>118</v>
      </c>
      <c r="B291" t="s">
        <v>118</v>
      </c>
    </row>
    <row r="292" spans="1:2" x14ac:dyDescent="0.4">
      <c r="A292" t="s">
        <v>118</v>
      </c>
      <c r="B292" t="s">
        <v>118</v>
      </c>
    </row>
    <row r="293" spans="1:2" x14ac:dyDescent="0.4">
      <c r="A293" t="s">
        <v>118</v>
      </c>
      <c r="B293" t="s">
        <v>118</v>
      </c>
    </row>
    <row r="294" spans="1:2" x14ac:dyDescent="0.4">
      <c r="A294" t="s">
        <v>118</v>
      </c>
      <c r="B294" t="s">
        <v>118</v>
      </c>
    </row>
    <row r="295" spans="1:2" x14ac:dyDescent="0.4">
      <c r="A295" t="s">
        <v>118</v>
      </c>
      <c r="B295" t="s">
        <v>118</v>
      </c>
    </row>
    <row r="296" spans="1:2" x14ac:dyDescent="0.4">
      <c r="A296" t="s">
        <v>118</v>
      </c>
      <c r="B296" t="s">
        <v>118</v>
      </c>
    </row>
    <row r="297" spans="1:2" x14ac:dyDescent="0.4">
      <c r="A297" t="s">
        <v>118</v>
      </c>
      <c r="B297" t="s">
        <v>118</v>
      </c>
    </row>
    <row r="298" spans="1:2" x14ac:dyDescent="0.4">
      <c r="A298" t="s">
        <v>118</v>
      </c>
      <c r="B298" t="s">
        <v>118</v>
      </c>
    </row>
    <row r="299" spans="1:2" x14ac:dyDescent="0.4">
      <c r="A299" t="s">
        <v>118</v>
      </c>
      <c r="B299" t="s">
        <v>118</v>
      </c>
    </row>
    <row r="300" spans="1:2" x14ac:dyDescent="0.4">
      <c r="A300" t="s">
        <v>118</v>
      </c>
      <c r="B300" t="s">
        <v>118</v>
      </c>
    </row>
    <row r="301" spans="1:2" x14ac:dyDescent="0.4">
      <c r="A301" t="s">
        <v>118</v>
      </c>
      <c r="B301" t="s">
        <v>118</v>
      </c>
    </row>
    <row r="302" spans="1:2" x14ac:dyDescent="0.4">
      <c r="A302" t="s">
        <v>118</v>
      </c>
      <c r="B302" t="s">
        <v>118</v>
      </c>
    </row>
    <row r="303" spans="1:2" x14ac:dyDescent="0.4">
      <c r="A303" t="s">
        <v>118</v>
      </c>
      <c r="B303" t="s">
        <v>118</v>
      </c>
    </row>
    <row r="304" spans="1:2" x14ac:dyDescent="0.4">
      <c r="A304" t="s">
        <v>118</v>
      </c>
      <c r="B304" t="s">
        <v>118</v>
      </c>
    </row>
    <row r="305" spans="1:2" x14ac:dyDescent="0.4">
      <c r="A305" t="s">
        <v>118</v>
      </c>
      <c r="B305" t="s">
        <v>118</v>
      </c>
    </row>
    <row r="306" spans="1:2" x14ac:dyDescent="0.4">
      <c r="A306" t="s">
        <v>118</v>
      </c>
      <c r="B306" t="s">
        <v>118</v>
      </c>
    </row>
    <row r="307" spans="1:2" x14ac:dyDescent="0.4">
      <c r="A307" t="s">
        <v>118</v>
      </c>
      <c r="B307" t="s">
        <v>118</v>
      </c>
    </row>
    <row r="308" spans="1:2" x14ac:dyDescent="0.4">
      <c r="A308" t="s">
        <v>118</v>
      </c>
      <c r="B308" t="s">
        <v>118</v>
      </c>
    </row>
    <row r="309" spans="1:2" x14ac:dyDescent="0.4">
      <c r="A309" t="s">
        <v>118</v>
      </c>
      <c r="B309" t="s">
        <v>118</v>
      </c>
    </row>
    <row r="310" spans="1:2" x14ac:dyDescent="0.4">
      <c r="A310" t="s">
        <v>118</v>
      </c>
      <c r="B310" t="s">
        <v>118</v>
      </c>
    </row>
    <row r="311" spans="1:2" x14ac:dyDescent="0.4">
      <c r="A311" t="s">
        <v>118</v>
      </c>
      <c r="B311" t="s">
        <v>118</v>
      </c>
    </row>
    <row r="312" spans="1:2" x14ac:dyDescent="0.4">
      <c r="A312" t="s">
        <v>118</v>
      </c>
      <c r="B312" t="s">
        <v>118</v>
      </c>
    </row>
    <row r="313" spans="1:2" x14ac:dyDescent="0.4">
      <c r="A313" t="s">
        <v>118</v>
      </c>
      <c r="B313" t="s">
        <v>118</v>
      </c>
    </row>
    <row r="314" spans="1:2" x14ac:dyDescent="0.4">
      <c r="A314" t="s">
        <v>118</v>
      </c>
      <c r="B314" t="s">
        <v>118</v>
      </c>
    </row>
    <row r="315" spans="1:2" x14ac:dyDescent="0.4">
      <c r="A315" t="s">
        <v>118</v>
      </c>
      <c r="B315" t="s">
        <v>118</v>
      </c>
    </row>
    <row r="316" spans="1:2" x14ac:dyDescent="0.4">
      <c r="A316" t="s">
        <v>118</v>
      </c>
      <c r="B316" t="s">
        <v>118</v>
      </c>
    </row>
    <row r="317" spans="1:2" x14ac:dyDescent="0.4">
      <c r="A317" t="s">
        <v>118</v>
      </c>
      <c r="B317" t="s">
        <v>118</v>
      </c>
    </row>
    <row r="318" spans="1:2" x14ac:dyDescent="0.4">
      <c r="A318" t="s">
        <v>118</v>
      </c>
      <c r="B318" t="s">
        <v>118</v>
      </c>
    </row>
    <row r="319" spans="1:2" x14ac:dyDescent="0.4">
      <c r="A319" t="s">
        <v>118</v>
      </c>
      <c r="B319" t="s">
        <v>118</v>
      </c>
    </row>
    <row r="320" spans="1:2" x14ac:dyDescent="0.4">
      <c r="A320" t="s">
        <v>118</v>
      </c>
      <c r="B320" t="s">
        <v>118</v>
      </c>
    </row>
    <row r="321" spans="1:2" x14ac:dyDescent="0.4">
      <c r="A321" t="s">
        <v>118</v>
      </c>
      <c r="B321" t="s">
        <v>118</v>
      </c>
    </row>
    <row r="322" spans="1:2" x14ac:dyDescent="0.4">
      <c r="A322" t="s">
        <v>118</v>
      </c>
      <c r="B322" t="s">
        <v>118</v>
      </c>
    </row>
    <row r="323" spans="1:2" x14ac:dyDescent="0.4">
      <c r="A323" t="s">
        <v>118</v>
      </c>
      <c r="B323" t="s">
        <v>118</v>
      </c>
    </row>
    <row r="324" spans="1:2" x14ac:dyDescent="0.4">
      <c r="A324" t="s">
        <v>118</v>
      </c>
      <c r="B324" t="s">
        <v>118</v>
      </c>
    </row>
    <row r="325" spans="1:2" x14ac:dyDescent="0.4">
      <c r="A325" t="s">
        <v>118</v>
      </c>
      <c r="B325" t="s">
        <v>118</v>
      </c>
    </row>
    <row r="326" spans="1:2" x14ac:dyDescent="0.4">
      <c r="A326" t="s">
        <v>118</v>
      </c>
      <c r="B326" t="s">
        <v>118</v>
      </c>
    </row>
    <row r="327" spans="1:2" x14ac:dyDescent="0.4">
      <c r="A327" t="s">
        <v>118</v>
      </c>
      <c r="B327" t="s">
        <v>118</v>
      </c>
    </row>
    <row r="328" spans="1:2" x14ac:dyDescent="0.4">
      <c r="A328" t="s">
        <v>118</v>
      </c>
      <c r="B328" t="s">
        <v>118</v>
      </c>
    </row>
    <row r="329" spans="1:2" x14ac:dyDescent="0.4">
      <c r="A329" t="s">
        <v>118</v>
      </c>
      <c r="B329" t="s">
        <v>118</v>
      </c>
    </row>
    <row r="330" spans="1:2" x14ac:dyDescent="0.4">
      <c r="A330" t="s">
        <v>118</v>
      </c>
      <c r="B330" t="s">
        <v>118</v>
      </c>
    </row>
    <row r="331" spans="1:2" x14ac:dyDescent="0.4">
      <c r="A331" t="s">
        <v>118</v>
      </c>
      <c r="B331" t="s">
        <v>118</v>
      </c>
    </row>
    <row r="332" spans="1:2" x14ac:dyDescent="0.4">
      <c r="A332" t="s">
        <v>118</v>
      </c>
      <c r="B332" t="s">
        <v>118</v>
      </c>
    </row>
    <row r="333" spans="1:2" x14ac:dyDescent="0.4">
      <c r="A333" t="s">
        <v>118</v>
      </c>
      <c r="B333" t="s">
        <v>118</v>
      </c>
    </row>
    <row r="334" spans="1:2" x14ac:dyDescent="0.4">
      <c r="A334" t="s">
        <v>118</v>
      </c>
      <c r="B334" t="s">
        <v>118</v>
      </c>
    </row>
    <row r="335" spans="1:2" x14ac:dyDescent="0.4">
      <c r="A335" t="s">
        <v>118</v>
      </c>
      <c r="B335" t="s">
        <v>118</v>
      </c>
    </row>
    <row r="336" spans="1:2" x14ac:dyDescent="0.4">
      <c r="A336" t="s">
        <v>118</v>
      </c>
      <c r="B336" t="s">
        <v>118</v>
      </c>
    </row>
    <row r="337" spans="1:2" x14ac:dyDescent="0.4">
      <c r="A337" t="s">
        <v>118</v>
      </c>
      <c r="B337" t="s">
        <v>118</v>
      </c>
    </row>
    <row r="338" spans="1:2" x14ac:dyDescent="0.4">
      <c r="A338" t="s">
        <v>118</v>
      </c>
      <c r="B338" t="s">
        <v>118</v>
      </c>
    </row>
    <row r="339" spans="1:2" x14ac:dyDescent="0.4">
      <c r="A339" t="s">
        <v>118</v>
      </c>
      <c r="B339" t="s">
        <v>118</v>
      </c>
    </row>
    <row r="340" spans="1:2" x14ac:dyDescent="0.4">
      <c r="A340" t="s">
        <v>118</v>
      </c>
      <c r="B340" t="s">
        <v>118</v>
      </c>
    </row>
    <row r="341" spans="1:2" x14ac:dyDescent="0.4">
      <c r="A341" t="s">
        <v>118</v>
      </c>
      <c r="B341" t="s">
        <v>118</v>
      </c>
    </row>
    <row r="342" spans="1:2" x14ac:dyDescent="0.4">
      <c r="A342" t="s">
        <v>118</v>
      </c>
      <c r="B342" t="s">
        <v>118</v>
      </c>
    </row>
    <row r="343" spans="1:2" x14ac:dyDescent="0.4">
      <c r="A343" t="s">
        <v>118</v>
      </c>
      <c r="B343" t="s">
        <v>118</v>
      </c>
    </row>
    <row r="344" spans="1:2" x14ac:dyDescent="0.4">
      <c r="A344" t="s">
        <v>118</v>
      </c>
      <c r="B344" t="s">
        <v>118</v>
      </c>
    </row>
    <row r="345" spans="1:2" x14ac:dyDescent="0.4">
      <c r="A345" t="s">
        <v>118</v>
      </c>
      <c r="B345" t="s">
        <v>118</v>
      </c>
    </row>
    <row r="346" spans="1:2" x14ac:dyDescent="0.4">
      <c r="A346" t="s">
        <v>118</v>
      </c>
      <c r="B346" t="s">
        <v>118</v>
      </c>
    </row>
    <row r="347" spans="1:2" x14ac:dyDescent="0.4">
      <c r="A347" t="s">
        <v>118</v>
      </c>
      <c r="B347" t="s">
        <v>118</v>
      </c>
    </row>
    <row r="348" spans="1:2" x14ac:dyDescent="0.4">
      <c r="A348" t="s">
        <v>118</v>
      </c>
      <c r="B348" t="s">
        <v>118</v>
      </c>
    </row>
    <row r="349" spans="1:2" x14ac:dyDescent="0.4">
      <c r="A349" t="s">
        <v>118</v>
      </c>
      <c r="B349" t="s">
        <v>118</v>
      </c>
    </row>
    <row r="350" spans="1:2" x14ac:dyDescent="0.4">
      <c r="A350" t="s">
        <v>118</v>
      </c>
      <c r="B350" t="s">
        <v>118</v>
      </c>
    </row>
    <row r="351" spans="1:2" x14ac:dyDescent="0.4">
      <c r="A351" t="s">
        <v>118</v>
      </c>
      <c r="B351" t="s">
        <v>118</v>
      </c>
    </row>
    <row r="352" spans="1:2" x14ac:dyDescent="0.4">
      <c r="A352" t="s">
        <v>118</v>
      </c>
      <c r="B352" t="s">
        <v>118</v>
      </c>
    </row>
    <row r="353" spans="1:2" x14ac:dyDescent="0.4">
      <c r="A353" t="s">
        <v>118</v>
      </c>
      <c r="B353" t="s">
        <v>118</v>
      </c>
    </row>
    <row r="354" spans="1:2" x14ac:dyDescent="0.4">
      <c r="A354" t="s">
        <v>118</v>
      </c>
      <c r="B354" t="s">
        <v>118</v>
      </c>
    </row>
    <row r="355" spans="1:2" x14ac:dyDescent="0.4">
      <c r="A355" t="s">
        <v>118</v>
      </c>
      <c r="B355" t="s">
        <v>118</v>
      </c>
    </row>
    <row r="356" spans="1:2" x14ac:dyDescent="0.4">
      <c r="A356" t="s">
        <v>118</v>
      </c>
      <c r="B356" t="s">
        <v>118</v>
      </c>
    </row>
    <row r="357" spans="1:2" x14ac:dyDescent="0.4">
      <c r="A357" t="s">
        <v>118</v>
      </c>
      <c r="B357" t="s">
        <v>118</v>
      </c>
    </row>
    <row r="358" spans="1:2" x14ac:dyDescent="0.4">
      <c r="A358" t="s">
        <v>118</v>
      </c>
      <c r="B358" t="s">
        <v>118</v>
      </c>
    </row>
    <row r="359" spans="1:2" x14ac:dyDescent="0.4">
      <c r="A359" t="s">
        <v>118</v>
      </c>
      <c r="B359" t="s">
        <v>118</v>
      </c>
    </row>
    <row r="360" spans="1:2" x14ac:dyDescent="0.4">
      <c r="A360" t="s">
        <v>118</v>
      </c>
      <c r="B360" t="s">
        <v>118</v>
      </c>
    </row>
    <row r="361" spans="1:2" x14ac:dyDescent="0.4">
      <c r="A361" t="s">
        <v>118</v>
      </c>
      <c r="B361" t="s">
        <v>118</v>
      </c>
    </row>
    <row r="362" spans="1:2" x14ac:dyDescent="0.4">
      <c r="A362" t="s">
        <v>118</v>
      </c>
      <c r="B362" t="s">
        <v>118</v>
      </c>
    </row>
    <row r="363" spans="1:2" x14ac:dyDescent="0.4">
      <c r="A363" t="s">
        <v>118</v>
      </c>
      <c r="B363" t="s">
        <v>118</v>
      </c>
    </row>
    <row r="364" spans="1:2" x14ac:dyDescent="0.4">
      <c r="A364" t="s">
        <v>118</v>
      </c>
      <c r="B364" t="s">
        <v>118</v>
      </c>
    </row>
    <row r="365" spans="1:2" x14ac:dyDescent="0.4">
      <c r="A365" t="s">
        <v>118</v>
      </c>
      <c r="B365" t="s">
        <v>118</v>
      </c>
    </row>
    <row r="366" spans="1:2" x14ac:dyDescent="0.4">
      <c r="A366" t="s">
        <v>118</v>
      </c>
      <c r="B366" t="s">
        <v>118</v>
      </c>
    </row>
    <row r="367" spans="1:2" x14ac:dyDescent="0.4">
      <c r="A367" t="s">
        <v>118</v>
      </c>
      <c r="B367" t="s">
        <v>118</v>
      </c>
    </row>
    <row r="368" spans="1:2" x14ac:dyDescent="0.4">
      <c r="A368" t="s">
        <v>118</v>
      </c>
      <c r="B368" t="s">
        <v>118</v>
      </c>
    </row>
    <row r="369" spans="1:2" x14ac:dyDescent="0.4">
      <c r="A369" t="s">
        <v>118</v>
      </c>
      <c r="B369" t="s">
        <v>118</v>
      </c>
    </row>
    <row r="370" spans="1:2" x14ac:dyDescent="0.4">
      <c r="A370" t="s">
        <v>118</v>
      </c>
      <c r="B370" t="s">
        <v>118</v>
      </c>
    </row>
    <row r="371" spans="1:2" x14ac:dyDescent="0.4">
      <c r="A371" t="s">
        <v>118</v>
      </c>
      <c r="B371" t="s">
        <v>118</v>
      </c>
    </row>
    <row r="372" spans="1:2" x14ac:dyDescent="0.4">
      <c r="A372" t="s">
        <v>118</v>
      </c>
      <c r="B372" t="s">
        <v>118</v>
      </c>
    </row>
    <row r="373" spans="1:2" x14ac:dyDescent="0.4">
      <c r="A373" t="s">
        <v>118</v>
      </c>
      <c r="B373" t="s">
        <v>118</v>
      </c>
    </row>
    <row r="374" spans="1:2" x14ac:dyDescent="0.4">
      <c r="A374" t="s">
        <v>118</v>
      </c>
      <c r="B374" t="s">
        <v>118</v>
      </c>
    </row>
    <row r="375" spans="1:2" x14ac:dyDescent="0.4">
      <c r="A375" t="s">
        <v>118</v>
      </c>
      <c r="B375" t="s">
        <v>118</v>
      </c>
    </row>
    <row r="376" spans="1:2" x14ac:dyDescent="0.4">
      <c r="A376" t="s">
        <v>118</v>
      </c>
      <c r="B376" t="s">
        <v>118</v>
      </c>
    </row>
    <row r="377" spans="1:2" x14ac:dyDescent="0.4">
      <c r="A377" t="s">
        <v>118</v>
      </c>
      <c r="B377" t="s">
        <v>118</v>
      </c>
    </row>
    <row r="378" spans="1:2" x14ac:dyDescent="0.4">
      <c r="A378" t="s">
        <v>118</v>
      </c>
      <c r="B378" t="s">
        <v>118</v>
      </c>
    </row>
    <row r="379" spans="1:2" x14ac:dyDescent="0.4">
      <c r="A379" t="s">
        <v>118</v>
      </c>
      <c r="B379" t="s">
        <v>118</v>
      </c>
    </row>
    <row r="380" spans="1:2" x14ac:dyDescent="0.4">
      <c r="A380" t="s">
        <v>118</v>
      </c>
      <c r="B380" t="s">
        <v>118</v>
      </c>
    </row>
    <row r="381" spans="1:2" x14ac:dyDescent="0.4">
      <c r="A381" t="s">
        <v>118</v>
      </c>
      <c r="B381" t="s">
        <v>118</v>
      </c>
    </row>
    <row r="382" spans="1:2" x14ac:dyDescent="0.4">
      <c r="A382" t="s">
        <v>118</v>
      </c>
      <c r="B382" t="s">
        <v>118</v>
      </c>
    </row>
    <row r="383" spans="1:2" x14ac:dyDescent="0.4">
      <c r="A383" t="s">
        <v>118</v>
      </c>
      <c r="B383" t="s">
        <v>118</v>
      </c>
    </row>
    <row r="384" spans="1:2" x14ac:dyDescent="0.4">
      <c r="A384" t="s">
        <v>118</v>
      </c>
      <c r="B384" t="s">
        <v>118</v>
      </c>
    </row>
    <row r="385" spans="1:2" x14ac:dyDescent="0.4">
      <c r="A385" t="s">
        <v>118</v>
      </c>
      <c r="B385" t="s">
        <v>118</v>
      </c>
    </row>
    <row r="386" spans="1:2" x14ac:dyDescent="0.4">
      <c r="A386" t="s">
        <v>118</v>
      </c>
      <c r="B386" t="s">
        <v>118</v>
      </c>
    </row>
    <row r="387" spans="1:2" x14ac:dyDescent="0.4">
      <c r="A387" t="s">
        <v>118</v>
      </c>
      <c r="B387" t="s">
        <v>118</v>
      </c>
    </row>
    <row r="388" spans="1:2" x14ac:dyDescent="0.4">
      <c r="A388" t="s">
        <v>118</v>
      </c>
      <c r="B388" t="s">
        <v>118</v>
      </c>
    </row>
    <row r="389" spans="1:2" x14ac:dyDescent="0.4">
      <c r="A389" t="s">
        <v>118</v>
      </c>
      <c r="B389" t="s">
        <v>118</v>
      </c>
    </row>
    <row r="390" spans="1:2" x14ac:dyDescent="0.4">
      <c r="A390" t="s">
        <v>118</v>
      </c>
      <c r="B390" t="s">
        <v>118</v>
      </c>
    </row>
    <row r="391" spans="1:2" x14ac:dyDescent="0.4">
      <c r="A391" t="s">
        <v>118</v>
      </c>
      <c r="B391" t="s">
        <v>118</v>
      </c>
    </row>
    <row r="392" spans="1:2" x14ac:dyDescent="0.4">
      <c r="A392" t="s">
        <v>118</v>
      </c>
      <c r="B392" t="s">
        <v>118</v>
      </c>
    </row>
    <row r="393" spans="1:2" x14ac:dyDescent="0.4">
      <c r="A393" t="s">
        <v>118</v>
      </c>
      <c r="B393" t="s">
        <v>118</v>
      </c>
    </row>
    <row r="394" spans="1:2" x14ac:dyDescent="0.4">
      <c r="A394" t="s">
        <v>118</v>
      </c>
      <c r="B394" t="s">
        <v>118</v>
      </c>
    </row>
    <row r="395" spans="1:2" x14ac:dyDescent="0.4">
      <c r="A395" t="s">
        <v>118</v>
      </c>
      <c r="B395" t="s">
        <v>118</v>
      </c>
    </row>
    <row r="396" spans="1:2" x14ac:dyDescent="0.4">
      <c r="A396" t="s">
        <v>118</v>
      </c>
      <c r="B396" t="s">
        <v>118</v>
      </c>
    </row>
    <row r="397" spans="1:2" x14ac:dyDescent="0.4">
      <c r="A397" t="s">
        <v>118</v>
      </c>
      <c r="B397" t="s">
        <v>118</v>
      </c>
    </row>
    <row r="398" spans="1:2" x14ac:dyDescent="0.4">
      <c r="A398" t="s">
        <v>118</v>
      </c>
      <c r="B398" t="s">
        <v>118</v>
      </c>
    </row>
    <row r="399" spans="1:2" x14ac:dyDescent="0.4">
      <c r="A399" t="s">
        <v>118</v>
      </c>
      <c r="B399" t="s">
        <v>118</v>
      </c>
    </row>
    <row r="400" spans="1:2" x14ac:dyDescent="0.4">
      <c r="A400" t="s">
        <v>118</v>
      </c>
      <c r="B400" t="s">
        <v>118</v>
      </c>
    </row>
    <row r="401" spans="1:2" x14ac:dyDescent="0.4">
      <c r="A401" t="s">
        <v>118</v>
      </c>
      <c r="B401" t="s">
        <v>118</v>
      </c>
    </row>
    <row r="402" spans="1:2" x14ac:dyDescent="0.4">
      <c r="A402" t="s">
        <v>118</v>
      </c>
      <c r="B402" t="s">
        <v>118</v>
      </c>
    </row>
    <row r="403" spans="1:2" x14ac:dyDescent="0.4">
      <c r="A403" t="s">
        <v>118</v>
      </c>
      <c r="B403" t="s">
        <v>118</v>
      </c>
    </row>
    <row r="404" spans="1:2" x14ac:dyDescent="0.4">
      <c r="A404" t="s">
        <v>118</v>
      </c>
      <c r="B404" t="s">
        <v>118</v>
      </c>
    </row>
    <row r="405" spans="1:2" x14ac:dyDescent="0.4">
      <c r="A405" t="s">
        <v>118</v>
      </c>
      <c r="B405" t="s">
        <v>118</v>
      </c>
    </row>
    <row r="406" spans="1:2" x14ac:dyDescent="0.4">
      <c r="A406" t="s">
        <v>118</v>
      </c>
      <c r="B406" t="s">
        <v>118</v>
      </c>
    </row>
    <row r="407" spans="1:2" x14ac:dyDescent="0.4">
      <c r="A407" t="s">
        <v>118</v>
      </c>
      <c r="B407" t="s">
        <v>118</v>
      </c>
    </row>
    <row r="408" spans="1:2" x14ac:dyDescent="0.4">
      <c r="A408" t="s">
        <v>118</v>
      </c>
      <c r="B408" t="s">
        <v>118</v>
      </c>
    </row>
    <row r="409" spans="1:2" x14ac:dyDescent="0.4">
      <c r="A409" t="s">
        <v>118</v>
      </c>
      <c r="B409" t="s">
        <v>118</v>
      </c>
    </row>
    <row r="410" spans="1:2" x14ac:dyDescent="0.4">
      <c r="A410" t="s">
        <v>118</v>
      </c>
      <c r="B410" t="s">
        <v>118</v>
      </c>
    </row>
    <row r="411" spans="1:2" x14ac:dyDescent="0.4">
      <c r="A411" t="s">
        <v>118</v>
      </c>
      <c r="B411" t="s">
        <v>118</v>
      </c>
    </row>
    <row r="412" spans="1:2" x14ac:dyDescent="0.4">
      <c r="A412" t="s">
        <v>118</v>
      </c>
      <c r="B412" t="s">
        <v>118</v>
      </c>
    </row>
    <row r="413" spans="1:2" x14ac:dyDescent="0.4">
      <c r="A413" t="s">
        <v>118</v>
      </c>
      <c r="B413" t="s">
        <v>118</v>
      </c>
    </row>
    <row r="414" spans="1:2" x14ac:dyDescent="0.4">
      <c r="A414" t="s">
        <v>118</v>
      </c>
      <c r="B414" t="s">
        <v>118</v>
      </c>
    </row>
    <row r="415" spans="1:2" x14ac:dyDescent="0.4">
      <c r="A415" t="s">
        <v>118</v>
      </c>
      <c r="B415" t="s">
        <v>118</v>
      </c>
    </row>
    <row r="416" spans="1:2" x14ac:dyDescent="0.4">
      <c r="A416" t="s">
        <v>118</v>
      </c>
      <c r="B416" t="s">
        <v>118</v>
      </c>
    </row>
    <row r="417" spans="1:2" x14ac:dyDescent="0.4">
      <c r="A417" t="s">
        <v>118</v>
      </c>
      <c r="B417" t="s">
        <v>118</v>
      </c>
    </row>
    <row r="418" spans="1:2" x14ac:dyDescent="0.4">
      <c r="A418" t="s">
        <v>118</v>
      </c>
      <c r="B418" t="s">
        <v>118</v>
      </c>
    </row>
    <row r="419" spans="1:2" x14ac:dyDescent="0.4">
      <c r="A419" t="s">
        <v>118</v>
      </c>
      <c r="B419" t="s">
        <v>118</v>
      </c>
    </row>
    <row r="420" spans="1:2" x14ac:dyDescent="0.4">
      <c r="A420" t="s">
        <v>118</v>
      </c>
      <c r="B420" t="s">
        <v>118</v>
      </c>
    </row>
    <row r="421" spans="1:2" x14ac:dyDescent="0.4">
      <c r="A421" t="s">
        <v>118</v>
      </c>
      <c r="B421" t="s">
        <v>118</v>
      </c>
    </row>
    <row r="422" spans="1:2" x14ac:dyDescent="0.4">
      <c r="A422" t="s">
        <v>118</v>
      </c>
      <c r="B422" t="s">
        <v>118</v>
      </c>
    </row>
    <row r="423" spans="1:2" x14ac:dyDescent="0.4">
      <c r="A423" t="s">
        <v>118</v>
      </c>
      <c r="B423" t="s">
        <v>118</v>
      </c>
    </row>
    <row r="424" spans="1:2" x14ac:dyDescent="0.4">
      <c r="A424" t="s">
        <v>118</v>
      </c>
      <c r="B424" t="s">
        <v>118</v>
      </c>
    </row>
    <row r="425" spans="1:2" x14ac:dyDescent="0.4">
      <c r="A425" t="s">
        <v>118</v>
      </c>
      <c r="B425" t="s">
        <v>118</v>
      </c>
    </row>
    <row r="426" spans="1:2" x14ac:dyDescent="0.4">
      <c r="A426" t="s">
        <v>118</v>
      </c>
      <c r="B426" t="s">
        <v>118</v>
      </c>
    </row>
    <row r="427" spans="1:2" x14ac:dyDescent="0.4">
      <c r="A427" t="s">
        <v>118</v>
      </c>
      <c r="B427" t="s">
        <v>118</v>
      </c>
    </row>
    <row r="428" spans="1:2" x14ac:dyDescent="0.4">
      <c r="A428" t="s">
        <v>118</v>
      </c>
      <c r="B428" t="s">
        <v>118</v>
      </c>
    </row>
    <row r="429" spans="1:2" x14ac:dyDescent="0.4">
      <c r="A429" t="s">
        <v>118</v>
      </c>
      <c r="B429" t="s">
        <v>118</v>
      </c>
    </row>
    <row r="430" spans="1:2" x14ac:dyDescent="0.4">
      <c r="A430" t="s">
        <v>118</v>
      </c>
      <c r="B430" t="s">
        <v>118</v>
      </c>
    </row>
    <row r="431" spans="1:2" x14ac:dyDescent="0.4">
      <c r="A431" t="s">
        <v>118</v>
      </c>
      <c r="B431" t="s">
        <v>118</v>
      </c>
    </row>
    <row r="432" spans="1:2" x14ac:dyDescent="0.4">
      <c r="A432" t="s">
        <v>118</v>
      </c>
      <c r="B432" t="s">
        <v>118</v>
      </c>
    </row>
    <row r="433" spans="1:2" x14ac:dyDescent="0.4">
      <c r="A433" t="s">
        <v>118</v>
      </c>
      <c r="B433" t="s">
        <v>118</v>
      </c>
    </row>
    <row r="434" spans="1:2" x14ac:dyDescent="0.4">
      <c r="A434" t="s">
        <v>118</v>
      </c>
      <c r="B434" t="s">
        <v>118</v>
      </c>
    </row>
    <row r="435" spans="1:2" x14ac:dyDescent="0.4">
      <c r="A435" t="s">
        <v>118</v>
      </c>
      <c r="B435" t="s">
        <v>118</v>
      </c>
    </row>
    <row r="436" spans="1:2" x14ac:dyDescent="0.4">
      <c r="A436" t="s">
        <v>118</v>
      </c>
      <c r="B436" t="s">
        <v>118</v>
      </c>
    </row>
    <row r="437" spans="1:2" x14ac:dyDescent="0.4">
      <c r="A437" t="s">
        <v>118</v>
      </c>
      <c r="B437" t="s">
        <v>118</v>
      </c>
    </row>
    <row r="438" spans="1:2" x14ac:dyDescent="0.4">
      <c r="A438" t="s">
        <v>118</v>
      </c>
      <c r="B438" t="s">
        <v>118</v>
      </c>
    </row>
    <row r="439" spans="1:2" x14ac:dyDescent="0.4">
      <c r="A439" t="s">
        <v>118</v>
      </c>
      <c r="B439" t="s">
        <v>118</v>
      </c>
    </row>
    <row r="440" spans="1:2" x14ac:dyDescent="0.4">
      <c r="A440" t="s">
        <v>118</v>
      </c>
      <c r="B440" t="s">
        <v>118</v>
      </c>
    </row>
    <row r="441" spans="1:2" x14ac:dyDescent="0.4">
      <c r="A441" t="s">
        <v>118</v>
      </c>
      <c r="B441" t="s">
        <v>118</v>
      </c>
    </row>
    <row r="442" spans="1:2" x14ac:dyDescent="0.4">
      <c r="A442" t="s">
        <v>118</v>
      </c>
      <c r="B442" t="s">
        <v>118</v>
      </c>
    </row>
    <row r="443" spans="1:2" x14ac:dyDescent="0.4">
      <c r="A443" t="s">
        <v>118</v>
      </c>
      <c r="B443" t="s">
        <v>118</v>
      </c>
    </row>
    <row r="444" spans="1:2" x14ac:dyDescent="0.4">
      <c r="A444" t="s">
        <v>118</v>
      </c>
      <c r="B444" t="s">
        <v>118</v>
      </c>
    </row>
    <row r="445" spans="1:2" x14ac:dyDescent="0.4">
      <c r="A445" t="s">
        <v>118</v>
      </c>
      <c r="B445" t="s">
        <v>118</v>
      </c>
    </row>
    <row r="446" spans="1:2" x14ac:dyDescent="0.4">
      <c r="A446" t="s">
        <v>118</v>
      </c>
      <c r="B446" t="s">
        <v>118</v>
      </c>
    </row>
    <row r="447" spans="1:2" x14ac:dyDescent="0.4">
      <c r="A447" t="s">
        <v>118</v>
      </c>
      <c r="B447" t="s">
        <v>118</v>
      </c>
    </row>
    <row r="448" spans="1:2" x14ac:dyDescent="0.4">
      <c r="A448" t="s">
        <v>118</v>
      </c>
      <c r="B448" t="s">
        <v>118</v>
      </c>
    </row>
    <row r="449" spans="1:2" x14ac:dyDescent="0.4">
      <c r="A449" t="s">
        <v>118</v>
      </c>
      <c r="B449" t="s">
        <v>118</v>
      </c>
    </row>
    <row r="450" spans="1:2" x14ac:dyDescent="0.4">
      <c r="A450" t="s">
        <v>118</v>
      </c>
      <c r="B450" t="s">
        <v>118</v>
      </c>
    </row>
    <row r="451" spans="1:2" x14ac:dyDescent="0.4">
      <c r="A451" t="s">
        <v>118</v>
      </c>
      <c r="B451" t="s">
        <v>118</v>
      </c>
    </row>
    <row r="452" spans="1:2" x14ac:dyDescent="0.4">
      <c r="A452" t="s">
        <v>118</v>
      </c>
      <c r="B452" t="s">
        <v>118</v>
      </c>
    </row>
    <row r="453" spans="1:2" x14ac:dyDescent="0.4">
      <c r="A453" t="s">
        <v>118</v>
      </c>
      <c r="B453" t="s">
        <v>118</v>
      </c>
    </row>
    <row r="454" spans="1:2" x14ac:dyDescent="0.4">
      <c r="A454" t="s">
        <v>118</v>
      </c>
      <c r="B454" t="s">
        <v>118</v>
      </c>
    </row>
    <row r="455" spans="1:2" x14ac:dyDescent="0.4">
      <c r="A455" t="s">
        <v>118</v>
      </c>
      <c r="B455" t="s">
        <v>118</v>
      </c>
    </row>
    <row r="456" spans="1:2" x14ac:dyDescent="0.4">
      <c r="A456" t="s">
        <v>118</v>
      </c>
      <c r="B456" t="s">
        <v>118</v>
      </c>
    </row>
    <row r="457" spans="1:2" x14ac:dyDescent="0.4">
      <c r="A457" t="s">
        <v>118</v>
      </c>
      <c r="B457" t="s">
        <v>118</v>
      </c>
    </row>
    <row r="458" spans="1:2" x14ac:dyDescent="0.4">
      <c r="A458" t="s">
        <v>118</v>
      </c>
      <c r="B458" t="s">
        <v>118</v>
      </c>
    </row>
    <row r="459" spans="1:2" x14ac:dyDescent="0.4">
      <c r="A459" t="s">
        <v>118</v>
      </c>
      <c r="B459" t="s">
        <v>118</v>
      </c>
    </row>
    <row r="460" spans="1:2" x14ac:dyDescent="0.4">
      <c r="A460" t="s">
        <v>118</v>
      </c>
      <c r="B460" t="s">
        <v>118</v>
      </c>
    </row>
    <row r="461" spans="1:2" x14ac:dyDescent="0.4">
      <c r="A461" t="s">
        <v>118</v>
      </c>
      <c r="B461" t="s">
        <v>118</v>
      </c>
    </row>
    <row r="462" spans="1:2" x14ac:dyDescent="0.4">
      <c r="A462" t="s">
        <v>118</v>
      </c>
      <c r="B462" t="s">
        <v>118</v>
      </c>
    </row>
    <row r="463" spans="1:2" x14ac:dyDescent="0.4">
      <c r="A463" t="s">
        <v>118</v>
      </c>
      <c r="B463" t="s">
        <v>118</v>
      </c>
    </row>
    <row r="464" spans="1:2" x14ac:dyDescent="0.4">
      <c r="A464" t="s">
        <v>118</v>
      </c>
      <c r="B464" t="s">
        <v>118</v>
      </c>
    </row>
    <row r="465" spans="1:2" x14ac:dyDescent="0.4">
      <c r="A465" t="s">
        <v>118</v>
      </c>
      <c r="B465" t="s">
        <v>118</v>
      </c>
    </row>
    <row r="466" spans="1:2" x14ac:dyDescent="0.4">
      <c r="A466" t="s">
        <v>118</v>
      </c>
      <c r="B466" t="s">
        <v>118</v>
      </c>
    </row>
    <row r="467" spans="1:2" x14ac:dyDescent="0.4">
      <c r="A467" t="s">
        <v>118</v>
      </c>
      <c r="B467" t="s">
        <v>118</v>
      </c>
    </row>
    <row r="468" spans="1:2" x14ac:dyDescent="0.4">
      <c r="A468" t="s">
        <v>118</v>
      </c>
      <c r="B468" t="s">
        <v>118</v>
      </c>
    </row>
    <row r="469" spans="1:2" x14ac:dyDescent="0.4">
      <c r="A469" t="s">
        <v>118</v>
      </c>
      <c r="B469" t="s">
        <v>118</v>
      </c>
    </row>
    <row r="470" spans="1:2" x14ac:dyDescent="0.4">
      <c r="A470" t="s">
        <v>118</v>
      </c>
      <c r="B470" t="s">
        <v>118</v>
      </c>
    </row>
    <row r="471" spans="1:2" x14ac:dyDescent="0.4">
      <c r="A471" t="s">
        <v>118</v>
      </c>
      <c r="B471" t="s">
        <v>118</v>
      </c>
    </row>
    <row r="472" spans="1:2" x14ac:dyDescent="0.4">
      <c r="A472" t="s">
        <v>118</v>
      </c>
      <c r="B472" t="s">
        <v>118</v>
      </c>
    </row>
    <row r="473" spans="1:2" x14ac:dyDescent="0.4">
      <c r="A473" t="s">
        <v>118</v>
      </c>
      <c r="B473" t="s">
        <v>118</v>
      </c>
    </row>
    <row r="474" spans="1:2" x14ac:dyDescent="0.4">
      <c r="A474" t="s">
        <v>118</v>
      </c>
      <c r="B474" t="s">
        <v>118</v>
      </c>
    </row>
    <row r="475" spans="1:2" x14ac:dyDescent="0.4">
      <c r="A475" t="s">
        <v>118</v>
      </c>
      <c r="B475" t="s">
        <v>118</v>
      </c>
    </row>
    <row r="476" spans="1:2" x14ac:dyDescent="0.4">
      <c r="A476" t="s">
        <v>118</v>
      </c>
      <c r="B476" t="s">
        <v>118</v>
      </c>
    </row>
    <row r="477" spans="1:2" x14ac:dyDescent="0.4">
      <c r="A477" t="s">
        <v>118</v>
      </c>
      <c r="B477" t="s">
        <v>118</v>
      </c>
    </row>
    <row r="478" spans="1:2" x14ac:dyDescent="0.4">
      <c r="A478" t="s">
        <v>118</v>
      </c>
      <c r="B478" t="s">
        <v>118</v>
      </c>
    </row>
    <row r="479" spans="1:2" x14ac:dyDescent="0.4">
      <c r="A479" t="s">
        <v>118</v>
      </c>
      <c r="B479" t="s">
        <v>118</v>
      </c>
    </row>
    <row r="480" spans="1:2" x14ac:dyDescent="0.4">
      <c r="A480" t="s">
        <v>118</v>
      </c>
      <c r="B480" t="s">
        <v>118</v>
      </c>
    </row>
    <row r="481" spans="1:2" x14ac:dyDescent="0.4">
      <c r="A481" t="s">
        <v>118</v>
      </c>
      <c r="B481" t="s">
        <v>118</v>
      </c>
    </row>
    <row r="482" spans="1:2" x14ac:dyDescent="0.4">
      <c r="A482" t="s">
        <v>118</v>
      </c>
      <c r="B482" t="s">
        <v>118</v>
      </c>
    </row>
    <row r="483" spans="1:2" x14ac:dyDescent="0.4">
      <c r="A483" t="s">
        <v>118</v>
      </c>
      <c r="B483" t="s">
        <v>118</v>
      </c>
    </row>
    <row r="484" spans="1:2" x14ac:dyDescent="0.4">
      <c r="A484" t="s">
        <v>118</v>
      </c>
      <c r="B484" t="s">
        <v>118</v>
      </c>
    </row>
    <row r="485" spans="1:2" x14ac:dyDescent="0.4">
      <c r="A485" t="s">
        <v>118</v>
      </c>
      <c r="B485" t="s">
        <v>118</v>
      </c>
    </row>
    <row r="486" spans="1:2" x14ac:dyDescent="0.4">
      <c r="A486" t="s">
        <v>118</v>
      </c>
      <c r="B486" t="s">
        <v>118</v>
      </c>
    </row>
    <row r="487" spans="1:2" x14ac:dyDescent="0.4">
      <c r="A487" t="s">
        <v>118</v>
      </c>
      <c r="B487" t="s">
        <v>118</v>
      </c>
    </row>
    <row r="488" spans="1:2" x14ac:dyDescent="0.4">
      <c r="A488" t="s">
        <v>118</v>
      </c>
      <c r="B488" t="s">
        <v>118</v>
      </c>
    </row>
    <row r="489" spans="1:2" x14ac:dyDescent="0.4">
      <c r="A489" t="s">
        <v>118</v>
      </c>
      <c r="B489" t="s">
        <v>118</v>
      </c>
    </row>
    <row r="490" spans="1:2" x14ac:dyDescent="0.4">
      <c r="A490" t="s">
        <v>118</v>
      </c>
      <c r="B490" t="s">
        <v>118</v>
      </c>
    </row>
    <row r="491" spans="1:2" x14ac:dyDescent="0.4">
      <c r="A491" t="s">
        <v>118</v>
      </c>
      <c r="B491" t="s">
        <v>118</v>
      </c>
    </row>
    <row r="492" spans="1:2" x14ac:dyDescent="0.4">
      <c r="A492" t="s">
        <v>118</v>
      </c>
      <c r="B492" t="s">
        <v>118</v>
      </c>
    </row>
    <row r="493" spans="1:2" x14ac:dyDescent="0.4">
      <c r="A493" t="s">
        <v>118</v>
      </c>
      <c r="B493" t="s">
        <v>118</v>
      </c>
    </row>
    <row r="494" spans="1:2" x14ac:dyDescent="0.4">
      <c r="A494" t="s">
        <v>118</v>
      </c>
      <c r="B494" t="s">
        <v>118</v>
      </c>
    </row>
    <row r="495" spans="1:2" x14ac:dyDescent="0.4">
      <c r="A495" t="s">
        <v>118</v>
      </c>
      <c r="B495" t="s">
        <v>118</v>
      </c>
    </row>
    <row r="496" spans="1:2" x14ac:dyDescent="0.4">
      <c r="A496" t="s">
        <v>118</v>
      </c>
      <c r="B496" t="s">
        <v>118</v>
      </c>
    </row>
    <row r="497" spans="1:2" x14ac:dyDescent="0.4">
      <c r="A497" t="s">
        <v>118</v>
      </c>
      <c r="B497" t="s">
        <v>118</v>
      </c>
    </row>
    <row r="498" spans="1:2" x14ac:dyDescent="0.4">
      <c r="A498" t="s">
        <v>118</v>
      </c>
      <c r="B498" t="s">
        <v>118</v>
      </c>
    </row>
    <row r="499" spans="1:2" x14ac:dyDescent="0.4">
      <c r="A499" t="s">
        <v>118</v>
      </c>
      <c r="B499" t="s">
        <v>118</v>
      </c>
    </row>
    <row r="500" spans="1:2" x14ac:dyDescent="0.4">
      <c r="A500" t="s">
        <v>118</v>
      </c>
      <c r="B500" t="s">
        <v>118</v>
      </c>
    </row>
    <row r="501" spans="1:2" x14ac:dyDescent="0.4">
      <c r="A501" t="s">
        <v>118</v>
      </c>
      <c r="B501" t="s">
        <v>118</v>
      </c>
    </row>
    <row r="502" spans="1:2" x14ac:dyDescent="0.4">
      <c r="A502" t="s">
        <v>118</v>
      </c>
      <c r="B502" t="s">
        <v>118</v>
      </c>
    </row>
    <row r="503" spans="1:2" x14ac:dyDescent="0.4">
      <c r="A503" t="s">
        <v>118</v>
      </c>
      <c r="B503" t="s">
        <v>118</v>
      </c>
    </row>
    <row r="504" spans="1:2" x14ac:dyDescent="0.4">
      <c r="A504" t="s">
        <v>118</v>
      </c>
      <c r="B504" t="s">
        <v>118</v>
      </c>
    </row>
    <row r="505" spans="1:2" x14ac:dyDescent="0.4">
      <c r="A505" t="s">
        <v>118</v>
      </c>
      <c r="B505" t="s">
        <v>118</v>
      </c>
    </row>
    <row r="506" spans="1:2" x14ac:dyDescent="0.4">
      <c r="A506" t="s">
        <v>118</v>
      </c>
      <c r="B506" t="s">
        <v>118</v>
      </c>
    </row>
    <row r="507" spans="1:2" x14ac:dyDescent="0.4">
      <c r="A507" t="s">
        <v>118</v>
      </c>
      <c r="B507" t="s">
        <v>118</v>
      </c>
    </row>
    <row r="508" spans="1:2" x14ac:dyDescent="0.4">
      <c r="A508" t="s">
        <v>118</v>
      </c>
      <c r="B508" t="s">
        <v>118</v>
      </c>
    </row>
    <row r="509" spans="1:2" x14ac:dyDescent="0.4">
      <c r="A509" t="s">
        <v>118</v>
      </c>
      <c r="B509" t="s">
        <v>118</v>
      </c>
    </row>
    <row r="510" spans="1:2" x14ac:dyDescent="0.4">
      <c r="A510" t="s">
        <v>118</v>
      </c>
      <c r="B510" t="s">
        <v>118</v>
      </c>
    </row>
    <row r="511" spans="1:2" x14ac:dyDescent="0.4">
      <c r="A511" t="s">
        <v>118</v>
      </c>
      <c r="B511" t="s">
        <v>118</v>
      </c>
    </row>
    <row r="512" spans="1:2" x14ac:dyDescent="0.4">
      <c r="A512" t="s">
        <v>118</v>
      </c>
      <c r="B512" t="s">
        <v>118</v>
      </c>
    </row>
    <row r="513" spans="1:2" x14ac:dyDescent="0.4">
      <c r="A513" t="s">
        <v>118</v>
      </c>
      <c r="B513" t="s">
        <v>118</v>
      </c>
    </row>
    <row r="514" spans="1:2" x14ac:dyDescent="0.4">
      <c r="A514" t="s">
        <v>118</v>
      </c>
      <c r="B514" t="s">
        <v>118</v>
      </c>
    </row>
    <row r="515" spans="1:2" x14ac:dyDescent="0.4">
      <c r="A515" t="s">
        <v>118</v>
      </c>
      <c r="B515" t="s">
        <v>118</v>
      </c>
    </row>
    <row r="516" spans="1:2" x14ac:dyDescent="0.4">
      <c r="A516" t="s">
        <v>118</v>
      </c>
      <c r="B516" t="s">
        <v>118</v>
      </c>
    </row>
    <row r="517" spans="1:2" x14ac:dyDescent="0.4">
      <c r="A517" t="s">
        <v>118</v>
      </c>
      <c r="B517" t="s">
        <v>118</v>
      </c>
    </row>
    <row r="518" spans="1:2" x14ac:dyDescent="0.4">
      <c r="A518" t="s">
        <v>118</v>
      </c>
      <c r="B518" t="s">
        <v>118</v>
      </c>
    </row>
    <row r="519" spans="1:2" x14ac:dyDescent="0.4">
      <c r="A519" t="s">
        <v>118</v>
      </c>
      <c r="B519" t="s">
        <v>118</v>
      </c>
    </row>
    <row r="520" spans="1:2" x14ac:dyDescent="0.4">
      <c r="A520" t="s">
        <v>118</v>
      </c>
      <c r="B520" t="s">
        <v>118</v>
      </c>
    </row>
    <row r="521" spans="1:2" x14ac:dyDescent="0.4">
      <c r="A521" t="s">
        <v>118</v>
      </c>
      <c r="B521" t="s">
        <v>118</v>
      </c>
    </row>
    <row r="522" spans="1:2" x14ac:dyDescent="0.4">
      <c r="A522" t="s">
        <v>118</v>
      </c>
      <c r="B522" t="s">
        <v>118</v>
      </c>
    </row>
    <row r="523" spans="1:2" x14ac:dyDescent="0.4">
      <c r="A523" t="s">
        <v>118</v>
      </c>
      <c r="B523" t="s">
        <v>118</v>
      </c>
    </row>
    <row r="524" spans="1:2" x14ac:dyDescent="0.4">
      <c r="A524" t="s">
        <v>118</v>
      </c>
      <c r="B524" t="s">
        <v>118</v>
      </c>
    </row>
    <row r="525" spans="1:2" x14ac:dyDescent="0.4">
      <c r="A525" t="s">
        <v>118</v>
      </c>
      <c r="B525" t="s">
        <v>118</v>
      </c>
    </row>
    <row r="526" spans="1:2" x14ac:dyDescent="0.4">
      <c r="A526" t="s">
        <v>118</v>
      </c>
      <c r="B526" t="s">
        <v>118</v>
      </c>
    </row>
    <row r="527" spans="1:2" x14ac:dyDescent="0.4">
      <c r="A527" t="s">
        <v>118</v>
      </c>
      <c r="B527" t="s">
        <v>118</v>
      </c>
    </row>
    <row r="528" spans="1:2" x14ac:dyDescent="0.4">
      <c r="A528" t="s">
        <v>118</v>
      </c>
      <c r="B528" t="s">
        <v>118</v>
      </c>
    </row>
    <row r="529" spans="1:2" x14ac:dyDescent="0.4">
      <c r="A529" t="s">
        <v>118</v>
      </c>
      <c r="B529" t="s">
        <v>118</v>
      </c>
    </row>
    <row r="530" spans="1:2" x14ac:dyDescent="0.4">
      <c r="A530" t="s">
        <v>118</v>
      </c>
      <c r="B530" t="s">
        <v>118</v>
      </c>
    </row>
    <row r="531" spans="1:2" x14ac:dyDescent="0.4">
      <c r="A531" t="s">
        <v>118</v>
      </c>
      <c r="B531" t="s">
        <v>118</v>
      </c>
    </row>
    <row r="532" spans="1:2" x14ac:dyDescent="0.4">
      <c r="A532" t="s">
        <v>118</v>
      </c>
      <c r="B532" t="s">
        <v>118</v>
      </c>
    </row>
    <row r="533" spans="1:2" x14ac:dyDescent="0.4">
      <c r="A533" t="s">
        <v>118</v>
      </c>
      <c r="B533" t="s">
        <v>118</v>
      </c>
    </row>
    <row r="534" spans="1:2" x14ac:dyDescent="0.4">
      <c r="A534" t="s">
        <v>118</v>
      </c>
      <c r="B534" t="s">
        <v>118</v>
      </c>
    </row>
    <row r="535" spans="1:2" x14ac:dyDescent="0.4">
      <c r="A535" t="s">
        <v>118</v>
      </c>
      <c r="B535" t="s">
        <v>118</v>
      </c>
    </row>
    <row r="536" spans="1:2" x14ac:dyDescent="0.4">
      <c r="A536" t="s">
        <v>118</v>
      </c>
      <c r="B536" t="s">
        <v>118</v>
      </c>
    </row>
    <row r="537" spans="1:2" x14ac:dyDescent="0.4">
      <c r="A537" t="s">
        <v>118</v>
      </c>
      <c r="B537" t="s">
        <v>118</v>
      </c>
    </row>
    <row r="538" spans="1:2" x14ac:dyDescent="0.4">
      <c r="A538" t="s">
        <v>118</v>
      </c>
      <c r="B538" t="s">
        <v>118</v>
      </c>
    </row>
    <row r="539" spans="1:2" x14ac:dyDescent="0.4">
      <c r="A539" t="s">
        <v>118</v>
      </c>
      <c r="B539" t="s">
        <v>118</v>
      </c>
    </row>
    <row r="540" spans="1:2" x14ac:dyDescent="0.4">
      <c r="A540" t="s">
        <v>118</v>
      </c>
      <c r="B540" t="s">
        <v>118</v>
      </c>
    </row>
    <row r="541" spans="1:2" x14ac:dyDescent="0.4">
      <c r="A541" t="s">
        <v>118</v>
      </c>
      <c r="B541" t="s">
        <v>118</v>
      </c>
    </row>
    <row r="542" spans="1:2" x14ac:dyDescent="0.4">
      <c r="A542" t="s">
        <v>118</v>
      </c>
      <c r="B542" t="s">
        <v>118</v>
      </c>
    </row>
    <row r="543" spans="1:2" x14ac:dyDescent="0.4">
      <c r="A543" t="s">
        <v>118</v>
      </c>
      <c r="B543" t="s">
        <v>118</v>
      </c>
    </row>
    <row r="544" spans="1:2" x14ac:dyDescent="0.4">
      <c r="A544" t="s">
        <v>118</v>
      </c>
      <c r="B544" t="s">
        <v>118</v>
      </c>
    </row>
    <row r="545" spans="1:2" x14ac:dyDescent="0.4">
      <c r="A545" t="s">
        <v>118</v>
      </c>
      <c r="B545" t="s">
        <v>118</v>
      </c>
    </row>
    <row r="546" spans="1:2" x14ac:dyDescent="0.4">
      <c r="A546" t="s">
        <v>118</v>
      </c>
      <c r="B546" t="s">
        <v>118</v>
      </c>
    </row>
    <row r="547" spans="1:2" x14ac:dyDescent="0.4">
      <c r="A547" t="s">
        <v>118</v>
      </c>
      <c r="B547" t="s">
        <v>118</v>
      </c>
    </row>
    <row r="548" spans="1:2" x14ac:dyDescent="0.4">
      <c r="A548" t="s">
        <v>118</v>
      </c>
      <c r="B548" t="s">
        <v>118</v>
      </c>
    </row>
    <row r="549" spans="1:2" x14ac:dyDescent="0.4">
      <c r="A549" t="s">
        <v>118</v>
      </c>
      <c r="B549" t="s">
        <v>118</v>
      </c>
    </row>
    <row r="550" spans="1:2" x14ac:dyDescent="0.4">
      <c r="A550" t="s">
        <v>118</v>
      </c>
      <c r="B550" t="s">
        <v>118</v>
      </c>
    </row>
    <row r="551" spans="1:2" x14ac:dyDescent="0.4">
      <c r="A551" t="s">
        <v>118</v>
      </c>
      <c r="B551" t="s">
        <v>118</v>
      </c>
    </row>
    <row r="552" spans="1:2" x14ac:dyDescent="0.4">
      <c r="A552" t="s">
        <v>118</v>
      </c>
      <c r="B552" t="s">
        <v>118</v>
      </c>
    </row>
    <row r="553" spans="1:2" x14ac:dyDescent="0.4">
      <c r="A553" t="s">
        <v>118</v>
      </c>
      <c r="B553" t="s">
        <v>118</v>
      </c>
    </row>
    <row r="554" spans="1:2" x14ac:dyDescent="0.4">
      <c r="A554" t="s">
        <v>118</v>
      </c>
      <c r="B554" t="s">
        <v>118</v>
      </c>
    </row>
    <row r="555" spans="1:2" x14ac:dyDescent="0.4">
      <c r="A555" t="s">
        <v>118</v>
      </c>
      <c r="B555" t="s">
        <v>118</v>
      </c>
    </row>
    <row r="556" spans="1:2" x14ac:dyDescent="0.4">
      <c r="A556" t="s">
        <v>118</v>
      </c>
      <c r="B556" t="s">
        <v>118</v>
      </c>
    </row>
    <row r="557" spans="1:2" x14ac:dyDescent="0.4">
      <c r="A557" t="s">
        <v>118</v>
      </c>
      <c r="B557" t="s">
        <v>118</v>
      </c>
    </row>
    <row r="558" spans="1:2" x14ac:dyDescent="0.4">
      <c r="A558" t="s">
        <v>118</v>
      </c>
      <c r="B558" t="s">
        <v>118</v>
      </c>
    </row>
    <row r="559" spans="1:2" x14ac:dyDescent="0.4">
      <c r="A559" t="s">
        <v>118</v>
      </c>
      <c r="B559" t="s">
        <v>118</v>
      </c>
    </row>
    <row r="560" spans="1:2" x14ac:dyDescent="0.4">
      <c r="A560" t="s">
        <v>118</v>
      </c>
      <c r="B560" t="s">
        <v>118</v>
      </c>
    </row>
    <row r="561" spans="1:2" x14ac:dyDescent="0.4">
      <c r="A561" t="s">
        <v>118</v>
      </c>
      <c r="B561" t="s">
        <v>118</v>
      </c>
    </row>
    <row r="562" spans="1:2" x14ac:dyDescent="0.4">
      <c r="A562" t="s">
        <v>118</v>
      </c>
      <c r="B562" t="s">
        <v>118</v>
      </c>
    </row>
    <row r="563" spans="1:2" x14ac:dyDescent="0.4">
      <c r="A563" t="s">
        <v>118</v>
      </c>
      <c r="B563" t="s">
        <v>118</v>
      </c>
    </row>
    <row r="564" spans="1:2" x14ac:dyDescent="0.4">
      <c r="A564" t="s">
        <v>118</v>
      </c>
      <c r="B564" t="s">
        <v>118</v>
      </c>
    </row>
    <row r="565" spans="1:2" x14ac:dyDescent="0.4">
      <c r="A565" t="s">
        <v>118</v>
      </c>
      <c r="B565" t="s">
        <v>118</v>
      </c>
    </row>
    <row r="566" spans="1:2" x14ac:dyDescent="0.4">
      <c r="A566" t="s">
        <v>118</v>
      </c>
      <c r="B566" t="s">
        <v>118</v>
      </c>
    </row>
    <row r="567" spans="1:2" x14ac:dyDescent="0.4">
      <c r="A567" t="s">
        <v>118</v>
      </c>
      <c r="B567" t="s">
        <v>118</v>
      </c>
    </row>
    <row r="568" spans="1:2" x14ac:dyDescent="0.4">
      <c r="A568" t="s">
        <v>118</v>
      </c>
      <c r="B568" t="s">
        <v>118</v>
      </c>
    </row>
    <row r="569" spans="1:2" x14ac:dyDescent="0.4">
      <c r="A569" t="s">
        <v>118</v>
      </c>
      <c r="B569" t="s">
        <v>118</v>
      </c>
    </row>
    <row r="570" spans="1:2" x14ac:dyDescent="0.4">
      <c r="A570" t="s">
        <v>118</v>
      </c>
      <c r="B570" t="s">
        <v>118</v>
      </c>
    </row>
    <row r="571" spans="1:2" x14ac:dyDescent="0.4">
      <c r="A571" t="s">
        <v>118</v>
      </c>
      <c r="B571" t="s">
        <v>118</v>
      </c>
    </row>
    <row r="572" spans="1:2" x14ac:dyDescent="0.4">
      <c r="A572" t="s">
        <v>118</v>
      </c>
      <c r="B572" t="s">
        <v>118</v>
      </c>
    </row>
    <row r="573" spans="1:2" x14ac:dyDescent="0.4">
      <c r="A573" t="s">
        <v>118</v>
      </c>
      <c r="B573" t="s">
        <v>118</v>
      </c>
    </row>
    <row r="574" spans="1:2" x14ac:dyDescent="0.4">
      <c r="A574" t="s">
        <v>118</v>
      </c>
      <c r="B574" t="s">
        <v>118</v>
      </c>
    </row>
    <row r="575" spans="1:2" x14ac:dyDescent="0.4">
      <c r="A575" t="s">
        <v>118</v>
      </c>
      <c r="B575" t="s">
        <v>118</v>
      </c>
    </row>
    <row r="576" spans="1:2" x14ac:dyDescent="0.4">
      <c r="A576" t="s">
        <v>118</v>
      </c>
      <c r="B576" t="s">
        <v>118</v>
      </c>
    </row>
    <row r="577" spans="1:2" x14ac:dyDescent="0.4">
      <c r="A577" t="s">
        <v>118</v>
      </c>
      <c r="B577" t="s">
        <v>118</v>
      </c>
    </row>
    <row r="578" spans="1:2" x14ac:dyDescent="0.4">
      <c r="A578" t="s">
        <v>118</v>
      </c>
      <c r="B578" t="s">
        <v>118</v>
      </c>
    </row>
    <row r="579" spans="1:2" x14ac:dyDescent="0.4">
      <c r="A579" t="s">
        <v>118</v>
      </c>
      <c r="B579" t="s">
        <v>118</v>
      </c>
    </row>
    <row r="580" spans="1:2" x14ac:dyDescent="0.4">
      <c r="A580" t="s">
        <v>118</v>
      </c>
      <c r="B580" t="s">
        <v>118</v>
      </c>
    </row>
    <row r="581" spans="1:2" x14ac:dyDescent="0.4">
      <c r="A581" t="s">
        <v>118</v>
      </c>
      <c r="B581" t="s">
        <v>118</v>
      </c>
    </row>
    <row r="582" spans="1:2" x14ac:dyDescent="0.4">
      <c r="A582" t="s">
        <v>118</v>
      </c>
      <c r="B582" t="s">
        <v>118</v>
      </c>
    </row>
    <row r="583" spans="1:2" x14ac:dyDescent="0.4">
      <c r="A583" t="s">
        <v>118</v>
      </c>
      <c r="B583" t="s">
        <v>118</v>
      </c>
    </row>
    <row r="584" spans="1:2" x14ac:dyDescent="0.4">
      <c r="A584" t="s">
        <v>118</v>
      </c>
      <c r="B584" t="s">
        <v>118</v>
      </c>
    </row>
    <row r="585" spans="1:2" x14ac:dyDescent="0.4">
      <c r="A585" t="s">
        <v>118</v>
      </c>
      <c r="B585" t="s">
        <v>118</v>
      </c>
    </row>
    <row r="586" spans="1:2" x14ac:dyDescent="0.4">
      <c r="A586" t="s">
        <v>118</v>
      </c>
      <c r="B586" t="s">
        <v>118</v>
      </c>
    </row>
    <row r="587" spans="1:2" x14ac:dyDescent="0.4">
      <c r="A587" t="s">
        <v>118</v>
      </c>
      <c r="B587" t="s">
        <v>118</v>
      </c>
    </row>
    <row r="588" spans="1:2" x14ac:dyDescent="0.4">
      <c r="A588" t="s">
        <v>118</v>
      </c>
      <c r="B588" t="s">
        <v>118</v>
      </c>
    </row>
    <row r="589" spans="1:2" x14ac:dyDescent="0.4">
      <c r="A589" t="s">
        <v>118</v>
      </c>
      <c r="B589" t="s">
        <v>118</v>
      </c>
    </row>
    <row r="590" spans="1:2" x14ac:dyDescent="0.4">
      <c r="A590" t="s">
        <v>118</v>
      </c>
      <c r="B590" t="s">
        <v>118</v>
      </c>
    </row>
    <row r="591" spans="1:2" x14ac:dyDescent="0.4">
      <c r="A591" t="s">
        <v>118</v>
      </c>
      <c r="B591" t="s">
        <v>118</v>
      </c>
    </row>
    <row r="592" spans="1:2" x14ac:dyDescent="0.4">
      <c r="A592" t="s">
        <v>118</v>
      </c>
      <c r="B592" t="s">
        <v>118</v>
      </c>
    </row>
    <row r="593" spans="1:2" x14ac:dyDescent="0.4">
      <c r="A593" t="s">
        <v>118</v>
      </c>
      <c r="B593" t="s">
        <v>118</v>
      </c>
    </row>
    <row r="594" spans="1:2" x14ac:dyDescent="0.4">
      <c r="A594" t="s">
        <v>118</v>
      </c>
      <c r="B594" t="s">
        <v>118</v>
      </c>
    </row>
    <row r="595" spans="1:2" x14ac:dyDescent="0.4">
      <c r="A595" t="s">
        <v>118</v>
      </c>
      <c r="B595" t="s">
        <v>118</v>
      </c>
    </row>
    <row r="596" spans="1:2" x14ac:dyDescent="0.4">
      <c r="A596" t="s">
        <v>118</v>
      </c>
      <c r="B596" t="s">
        <v>118</v>
      </c>
    </row>
    <row r="597" spans="1:2" x14ac:dyDescent="0.4">
      <c r="A597" t="s">
        <v>118</v>
      </c>
      <c r="B597" t="s">
        <v>118</v>
      </c>
    </row>
    <row r="598" spans="1:2" x14ac:dyDescent="0.4">
      <c r="A598" t="s">
        <v>118</v>
      </c>
      <c r="B598" t="s">
        <v>118</v>
      </c>
    </row>
    <row r="599" spans="1:2" x14ac:dyDescent="0.4">
      <c r="A599" t="s">
        <v>118</v>
      </c>
      <c r="B599" t="s">
        <v>118</v>
      </c>
    </row>
    <row r="600" spans="1:2" x14ac:dyDescent="0.4">
      <c r="A600" t="s">
        <v>118</v>
      </c>
      <c r="B600" t="s">
        <v>118</v>
      </c>
    </row>
    <row r="601" spans="1:2" x14ac:dyDescent="0.4">
      <c r="A601" t="s">
        <v>118</v>
      </c>
      <c r="B601" t="s">
        <v>118</v>
      </c>
    </row>
    <row r="602" spans="1:2" x14ac:dyDescent="0.4">
      <c r="A602" t="s">
        <v>118</v>
      </c>
      <c r="B602" t="s">
        <v>118</v>
      </c>
    </row>
    <row r="603" spans="1:2" x14ac:dyDescent="0.4">
      <c r="A603" t="s">
        <v>118</v>
      </c>
      <c r="B603" t="s">
        <v>118</v>
      </c>
    </row>
    <row r="604" spans="1:2" x14ac:dyDescent="0.4">
      <c r="A604" t="s">
        <v>118</v>
      </c>
      <c r="B604" t="s">
        <v>118</v>
      </c>
    </row>
    <row r="605" spans="1:2" x14ac:dyDescent="0.4">
      <c r="A605" t="s">
        <v>118</v>
      </c>
      <c r="B605" t="s">
        <v>118</v>
      </c>
    </row>
    <row r="606" spans="1:2" x14ac:dyDescent="0.4">
      <c r="A606" t="s">
        <v>118</v>
      </c>
      <c r="B606" t="s">
        <v>118</v>
      </c>
    </row>
    <row r="607" spans="1:2" x14ac:dyDescent="0.4">
      <c r="A607" t="s">
        <v>118</v>
      </c>
      <c r="B607" t="s">
        <v>118</v>
      </c>
    </row>
    <row r="608" spans="1:2" x14ac:dyDescent="0.4">
      <c r="A608" t="s">
        <v>118</v>
      </c>
      <c r="B608" t="s">
        <v>118</v>
      </c>
    </row>
    <row r="609" spans="1:2" x14ac:dyDescent="0.4">
      <c r="A609" t="s">
        <v>118</v>
      </c>
      <c r="B609" t="s">
        <v>118</v>
      </c>
    </row>
    <row r="610" spans="1:2" x14ac:dyDescent="0.4">
      <c r="A610" t="s">
        <v>118</v>
      </c>
      <c r="B610" t="s">
        <v>118</v>
      </c>
    </row>
    <row r="611" spans="1:2" x14ac:dyDescent="0.4">
      <c r="A611" t="s">
        <v>118</v>
      </c>
      <c r="B611" t="s">
        <v>118</v>
      </c>
    </row>
    <row r="612" spans="1:2" x14ac:dyDescent="0.4">
      <c r="A612" t="s">
        <v>118</v>
      </c>
      <c r="B612" t="s">
        <v>118</v>
      </c>
    </row>
    <row r="613" spans="1:2" x14ac:dyDescent="0.4">
      <c r="A613" t="s">
        <v>118</v>
      </c>
      <c r="B613" t="s">
        <v>118</v>
      </c>
    </row>
    <row r="614" spans="1:2" x14ac:dyDescent="0.4">
      <c r="A614" t="s">
        <v>118</v>
      </c>
      <c r="B614" t="s">
        <v>118</v>
      </c>
    </row>
    <row r="615" spans="1:2" x14ac:dyDescent="0.4">
      <c r="A615" t="s">
        <v>118</v>
      </c>
      <c r="B615" t="s">
        <v>118</v>
      </c>
    </row>
    <row r="616" spans="1:2" x14ac:dyDescent="0.4">
      <c r="A616" t="s">
        <v>118</v>
      </c>
      <c r="B616" t="s">
        <v>118</v>
      </c>
    </row>
    <row r="617" spans="1:2" x14ac:dyDescent="0.4">
      <c r="A617" t="s">
        <v>118</v>
      </c>
      <c r="B617" t="s">
        <v>118</v>
      </c>
    </row>
    <row r="618" spans="1:2" x14ac:dyDescent="0.4">
      <c r="A618" t="s">
        <v>118</v>
      </c>
      <c r="B618" t="s">
        <v>118</v>
      </c>
    </row>
    <row r="619" spans="1:2" x14ac:dyDescent="0.4">
      <c r="A619" t="s">
        <v>118</v>
      </c>
      <c r="B619" t="s">
        <v>118</v>
      </c>
    </row>
    <row r="620" spans="1:2" x14ac:dyDescent="0.4">
      <c r="A620" t="s">
        <v>118</v>
      </c>
      <c r="B620" t="s">
        <v>118</v>
      </c>
    </row>
    <row r="621" spans="1:2" x14ac:dyDescent="0.4">
      <c r="A621" t="s">
        <v>118</v>
      </c>
      <c r="B621" t="s">
        <v>118</v>
      </c>
    </row>
    <row r="622" spans="1:2" x14ac:dyDescent="0.4">
      <c r="A622" t="s">
        <v>118</v>
      </c>
      <c r="B622" t="s">
        <v>118</v>
      </c>
    </row>
    <row r="623" spans="1:2" x14ac:dyDescent="0.4">
      <c r="A623" t="s">
        <v>118</v>
      </c>
      <c r="B623" t="s">
        <v>118</v>
      </c>
    </row>
    <row r="624" spans="1:2" x14ac:dyDescent="0.4">
      <c r="A624" t="s">
        <v>118</v>
      </c>
      <c r="B624" t="s">
        <v>118</v>
      </c>
    </row>
    <row r="625" spans="1:2" x14ac:dyDescent="0.4">
      <c r="A625" t="s">
        <v>118</v>
      </c>
      <c r="B625" t="s">
        <v>118</v>
      </c>
    </row>
    <row r="626" spans="1:2" x14ac:dyDescent="0.4">
      <c r="A626" t="s">
        <v>118</v>
      </c>
      <c r="B626" t="s">
        <v>118</v>
      </c>
    </row>
    <row r="627" spans="1:2" x14ac:dyDescent="0.4">
      <c r="A627" t="s">
        <v>118</v>
      </c>
      <c r="B627" t="s">
        <v>118</v>
      </c>
    </row>
    <row r="628" spans="1:2" x14ac:dyDescent="0.4">
      <c r="A628" t="s">
        <v>118</v>
      </c>
      <c r="B628" t="s">
        <v>118</v>
      </c>
    </row>
    <row r="629" spans="1:2" x14ac:dyDescent="0.4">
      <c r="A629" t="s">
        <v>118</v>
      </c>
      <c r="B629" t="s">
        <v>118</v>
      </c>
    </row>
    <row r="630" spans="1:2" x14ac:dyDescent="0.4">
      <c r="A630" t="s">
        <v>118</v>
      </c>
      <c r="B630" t="s">
        <v>118</v>
      </c>
    </row>
    <row r="631" spans="1:2" x14ac:dyDescent="0.4">
      <c r="A631" t="s">
        <v>118</v>
      </c>
      <c r="B631" t="s">
        <v>118</v>
      </c>
    </row>
    <row r="632" spans="1:2" x14ac:dyDescent="0.4">
      <c r="A632" t="s">
        <v>118</v>
      </c>
      <c r="B632" t="s">
        <v>118</v>
      </c>
    </row>
    <row r="633" spans="1:2" x14ac:dyDescent="0.4">
      <c r="A633" t="s">
        <v>118</v>
      </c>
      <c r="B633" t="s">
        <v>118</v>
      </c>
    </row>
    <row r="634" spans="1:2" x14ac:dyDescent="0.4">
      <c r="A634" t="s">
        <v>118</v>
      </c>
      <c r="B634" t="s">
        <v>118</v>
      </c>
    </row>
    <row r="635" spans="1:2" x14ac:dyDescent="0.4">
      <c r="A635" t="s">
        <v>118</v>
      </c>
      <c r="B635" t="s">
        <v>118</v>
      </c>
    </row>
    <row r="636" spans="1:2" x14ac:dyDescent="0.4">
      <c r="A636" t="s">
        <v>118</v>
      </c>
      <c r="B636" t="s">
        <v>118</v>
      </c>
    </row>
    <row r="637" spans="1:2" x14ac:dyDescent="0.4">
      <c r="A637" t="s">
        <v>118</v>
      </c>
      <c r="B637" t="s">
        <v>118</v>
      </c>
    </row>
    <row r="638" spans="1:2" x14ac:dyDescent="0.4">
      <c r="A638" t="s">
        <v>118</v>
      </c>
      <c r="B638" t="s">
        <v>118</v>
      </c>
    </row>
    <row r="639" spans="1:2" x14ac:dyDescent="0.4">
      <c r="A639" t="s">
        <v>118</v>
      </c>
      <c r="B639" t="s">
        <v>118</v>
      </c>
    </row>
    <row r="640" spans="1:2" x14ac:dyDescent="0.4">
      <c r="A640" t="s">
        <v>118</v>
      </c>
      <c r="B640" t="s">
        <v>118</v>
      </c>
    </row>
    <row r="641" spans="1:2" x14ac:dyDescent="0.4">
      <c r="A641" t="s">
        <v>118</v>
      </c>
      <c r="B641" t="s">
        <v>118</v>
      </c>
    </row>
    <row r="642" spans="1:2" x14ac:dyDescent="0.4">
      <c r="A642" t="s">
        <v>118</v>
      </c>
      <c r="B642" t="s">
        <v>118</v>
      </c>
    </row>
    <row r="643" spans="1:2" x14ac:dyDescent="0.4">
      <c r="A643" t="s">
        <v>118</v>
      </c>
      <c r="B643" t="s">
        <v>118</v>
      </c>
    </row>
    <row r="644" spans="1:2" x14ac:dyDescent="0.4">
      <c r="A644" t="s">
        <v>118</v>
      </c>
      <c r="B644" t="s">
        <v>118</v>
      </c>
    </row>
    <row r="645" spans="1:2" x14ac:dyDescent="0.4">
      <c r="A645" t="s">
        <v>118</v>
      </c>
      <c r="B645" t="s">
        <v>118</v>
      </c>
    </row>
    <row r="646" spans="1:2" x14ac:dyDescent="0.4">
      <c r="A646" t="s">
        <v>118</v>
      </c>
      <c r="B646" t="s">
        <v>118</v>
      </c>
    </row>
    <row r="647" spans="1:2" x14ac:dyDescent="0.4">
      <c r="A647" t="s">
        <v>118</v>
      </c>
      <c r="B647" t="s">
        <v>118</v>
      </c>
    </row>
    <row r="648" spans="1:2" x14ac:dyDescent="0.4">
      <c r="A648" t="s">
        <v>118</v>
      </c>
      <c r="B648" t="s">
        <v>118</v>
      </c>
    </row>
    <row r="649" spans="1:2" x14ac:dyDescent="0.4">
      <c r="A649" t="s">
        <v>118</v>
      </c>
      <c r="B649" t="s">
        <v>118</v>
      </c>
    </row>
    <row r="650" spans="1:2" x14ac:dyDescent="0.4">
      <c r="A650" t="s">
        <v>118</v>
      </c>
      <c r="B650" t="s">
        <v>118</v>
      </c>
    </row>
    <row r="651" spans="1:2" x14ac:dyDescent="0.4">
      <c r="A651" t="s">
        <v>118</v>
      </c>
      <c r="B651" t="s">
        <v>118</v>
      </c>
    </row>
    <row r="652" spans="1:2" x14ac:dyDescent="0.4">
      <c r="A652" t="s">
        <v>118</v>
      </c>
      <c r="B652" t="s">
        <v>118</v>
      </c>
    </row>
    <row r="653" spans="1:2" x14ac:dyDescent="0.4">
      <c r="A653" t="s">
        <v>118</v>
      </c>
      <c r="B653" t="s">
        <v>118</v>
      </c>
    </row>
    <row r="654" spans="1:2" x14ac:dyDescent="0.4">
      <c r="A654" t="s">
        <v>118</v>
      </c>
      <c r="B654" t="s">
        <v>118</v>
      </c>
    </row>
    <row r="655" spans="1:2" x14ac:dyDescent="0.4">
      <c r="A655" t="s">
        <v>118</v>
      </c>
      <c r="B655" t="s">
        <v>118</v>
      </c>
    </row>
    <row r="656" spans="1:2" x14ac:dyDescent="0.4">
      <c r="A656" t="s">
        <v>118</v>
      </c>
      <c r="B656" t="s">
        <v>118</v>
      </c>
    </row>
    <row r="657" spans="1:2" x14ac:dyDescent="0.4">
      <c r="A657" t="s">
        <v>118</v>
      </c>
      <c r="B657" t="s">
        <v>118</v>
      </c>
    </row>
    <row r="658" spans="1:2" x14ac:dyDescent="0.4">
      <c r="A658" t="s">
        <v>118</v>
      </c>
      <c r="B658" t="s">
        <v>118</v>
      </c>
    </row>
    <row r="659" spans="1:2" x14ac:dyDescent="0.4">
      <c r="A659" t="s">
        <v>118</v>
      </c>
      <c r="B659" t="s">
        <v>118</v>
      </c>
    </row>
    <row r="660" spans="1:2" x14ac:dyDescent="0.4">
      <c r="A660" t="s">
        <v>118</v>
      </c>
      <c r="B660" t="s">
        <v>118</v>
      </c>
    </row>
    <row r="661" spans="1:2" x14ac:dyDescent="0.4">
      <c r="A661" t="s">
        <v>118</v>
      </c>
      <c r="B661" t="s">
        <v>118</v>
      </c>
    </row>
    <row r="662" spans="1:2" x14ac:dyDescent="0.4">
      <c r="A662" t="s">
        <v>118</v>
      </c>
      <c r="B662" t="s">
        <v>118</v>
      </c>
    </row>
    <row r="663" spans="1:2" x14ac:dyDescent="0.4">
      <c r="A663" t="s">
        <v>118</v>
      </c>
      <c r="B663" t="s">
        <v>118</v>
      </c>
    </row>
    <row r="664" spans="1:2" x14ac:dyDescent="0.4">
      <c r="A664" t="s">
        <v>118</v>
      </c>
      <c r="B664" t="s">
        <v>118</v>
      </c>
    </row>
    <row r="665" spans="1:2" x14ac:dyDescent="0.4">
      <c r="A665" t="s">
        <v>118</v>
      </c>
      <c r="B665" t="s">
        <v>118</v>
      </c>
    </row>
    <row r="666" spans="1:2" x14ac:dyDescent="0.4">
      <c r="A666" t="s">
        <v>118</v>
      </c>
      <c r="B666" t="s">
        <v>118</v>
      </c>
    </row>
    <row r="667" spans="1:2" x14ac:dyDescent="0.4">
      <c r="A667" t="s">
        <v>118</v>
      </c>
      <c r="B667" t="s">
        <v>118</v>
      </c>
    </row>
    <row r="668" spans="1:2" x14ac:dyDescent="0.4">
      <c r="A668" t="s">
        <v>118</v>
      </c>
      <c r="B668" t="s">
        <v>118</v>
      </c>
    </row>
    <row r="669" spans="1:2" x14ac:dyDescent="0.4">
      <c r="A669" t="s">
        <v>118</v>
      </c>
      <c r="B669" t="s">
        <v>118</v>
      </c>
    </row>
    <row r="670" spans="1:2" x14ac:dyDescent="0.4">
      <c r="A670" t="s">
        <v>118</v>
      </c>
      <c r="B670" t="s">
        <v>118</v>
      </c>
    </row>
    <row r="671" spans="1:2" x14ac:dyDescent="0.4">
      <c r="A671" t="s">
        <v>118</v>
      </c>
      <c r="B671" t="s">
        <v>118</v>
      </c>
    </row>
    <row r="672" spans="1:2" x14ac:dyDescent="0.4">
      <c r="A672" t="s">
        <v>118</v>
      </c>
      <c r="B672" t="s">
        <v>118</v>
      </c>
    </row>
    <row r="673" spans="1:2" x14ac:dyDescent="0.4">
      <c r="A673" t="s">
        <v>118</v>
      </c>
      <c r="B673" t="s">
        <v>118</v>
      </c>
    </row>
    <row r="674" spans="1:2" x14ac:dyDescent="0.4">
      <c r="A674" t="s">
        <v>118</v>
      </c>
      <c r="B674" t="s">
        <v>118</v>
      </c>
    </row>
    <row r="675" spans="1:2" x14ac:dyDescent="0.4">
      <c r="A675" t="s">
        <v>118</v>
      </c>
      <c r="B675" t="s">
        <v>118</v>
      </c>
    </row>
    <row r="676" spans="1:2" x14ac:dyDescent="0.4">
      <c r="A676" t="s">
        <v>118</v>
      </c>
      <c r="B676" t="s">
        <v>118</v>
      </c>
    </row>
    <row r="677" spans="1:2" x14ac:dyDescent="0.4">
      <c r="A677" t="s">
        <v>118</v>
      </c>
      <c r="B677" t="s">
        <v>118</v>
      </c>
    </row>
    <row r="678" spans="1:2" x14ac:dyDescent="0.4">
      <c r="A678" t="s">
        <v>118</v>
      </c>
      <c r="B678" t="s">
        <v>118</v>
      </c>
    </row>
    <row r="679" spans="1:2" x14ac:dyDescent="0.4">
      <c r="A679" t="s">
        <v>118</v>
      </c>
      <c r="B679" t="s">
        <v>118</v>
      </c>
    </row>
    <row r="680" spans="1:2" x14ac:dyDescent="0.4">
      <c r="A680" t="s">
        <v>118</v>
      </c>
      <c r="B680" t="s">
        <v>118</v>
      </c>
    </row>
    <row r="681" spans="1:2" x14ac:dyDescent="0.4">
      <c r="A681" t="s">
        <v>118</v>
      </c>
      <c r="B681" t="s">
        <v>118</v>
      </c>
    </row>
    <row r="682" spans="1:2" x14ac:dyDescent="0.4">
      <c r="A682" t="s">
        <v>118</v>
      </c>
      <c r="B682" t="s">
        <v>118</v>
      </c>
    </row>
    <row r="683" spans="1:2" x14ac:dyDescent="0.4">
      <c r="A683" t="s">
        <v>118</v>
      </c>
      <c r="B683" t="s">
        <v>118</v>
      </c>
    </row>
    <row r="684" spans="1:2" x14ac:dyDescent="0.4">
      <c r="A684" t="s">
        <v>118</v>
      </c>
      <c r="B684" t="s">
        <v>118</v>
      </c>
    </row>
    <row r="685" spans="1:2" x14ac:dyDescent="0.4">
      <c r="A685" t="s">
        <v>118</v>
      </c>
      <c r="B685" t="s">
        <v>118</v>
      </c>
    </row>
    <row r="686" spans="1:2" x14ac:dyDescent="0.4">
      <c r="A686" t="s">
        <v>118</v>
      </c>
      <c r="B686" t="s">
        <v>118</v>
      </c>
    </row>
    <row r="687" spans="1:2" x14ac:dyDescent="0.4">
      <c r="A687" t="s">
        <v>118</v>
      </c>
      <c r="B687" t="s">
        <v>118</v>
      </c>
    </row>
    <row r="688" spans="1:2" x14ac:dyDescent="0.4">
      <c r="A688" t="s">
        <v>118</v>
      </c>
      <c r="B688" t="s">
        <v>118</v>
      </c>
    </row>
    <row r="689" spans="1:2" x14ac:dyDescent="0.4">
      <c r="A689" t="s">
        <v>118</v>
      </c>
      <c r="B689" t="s">
        <v>118</v>
      </c>
    </row>
    <row r="690" spans="1:2" x14ac:dyDescent="0.4">
      <c r="A690" t="s">
        <v>118</v>
      </c>
      <c r="B690" t="s">
        <v>118</v>
      </c>
    </row>
    <row r="691" spans="1:2" x14ac:dyDescent="0.4">
      <c r="A691" t="s">
        <v>118</v>
      </c>
      <c r="B691" t="s">
        <v>118</v>
      </c>
    </row>
    <row r="692" spans="1:2" x14ac:dyDescent="0.4">
      <c r="A692" t="s">
        <v>118</v>
      </c>
      <c r="B692" t="s">
        <v>118</v>
      </c>
    </row>
    <row r="693" spans="1:2" x14ac:dyDescent="0.4">
      <c r="A693" t="s">
        <v>118</v>
      </c>
      <c r="B693" t="s">
        <v>118</v>
      </c>
    </row>
    <row r="694" spans="1:2" x14ac:dyDescent="0.4">
      <c r="A694" t="s">
        <v>118</v>
      </c>
      <c r="B694" t="s">
        <v>118</v>
      </c>
    </row>
    <row r="695" spans="1:2" x14ac:dyDescent="0.4">
      <c r="A695" t="s">
        <v>118</v>
      </c>
      <c r="B695" t="s">
        <v>118</v>
      </c>
    </row>
    <row r="696" spans="1:2" x14ac:dyDescent="0.4">
      <c r="A696" t="s">
        <v>118</v>
      </c>
      <c r="B696" t="s">
        <v>118</v>
      </c>
    </row>
    <row r="697" spans="1:2" x14ac:dyDescent="0.4">
      <c r="A697" t="s">
        <v>118</v>
      </c>
      <c r="B697" t="s">
        <v>118</v>
      </c>
    </row>
    <row r="698" spans="1:2" x14ac:dyDescent="0.4">
      <c r="A698" t="s">
        <v>118</v>
      </c>
      <c r="B698" t="s">
        <v>118</v>
      </c>
    </row>
    <row r="699" spans="1:2" x14ac:dyDescent="0.4">
      <c r="A699" t="s">
        <v>118</v>
      </c>
      <c r="B699" t="s">
        <v>118</v>
      </c>
    </row>
    <row r="700" spans="1:2" x14ac:dyDescent="0.4">
      <c r="A700" t="s">
        <v>118</v>
      </c>
      <c r="B700" t="s">
        <v>118</v>
      </c>
    </row>
    <row r="701" spans="1:2" x14ac:dyDescent="0.4">
      <c r="A701" t="s">
        <v>118</v>
      </c>
      <c r="B701" t="s">
        <v>118</v>
      </c>
    </row>
    <row r="702" spans="1:2" x14ac:dyDescent="0.4">
      <c r="A702" t="s">
        <v>118</v>
      </c>
      <c r="B702" t="s">
        <v>118</v>
      </c>
    </row>
    <row r="703" spans="1:2" x14ac:dyDescent="0.4">
      <c r="A703" t="s">
        <v>118</v>
      </c>
      <c r="B703" t="s">
        <v>118</v>
      </c>
    </row>
    <row r="704" spans="1:2" x14ac:dyDescent="0.4">
      <c r="A704" t="s">
        <v>118</v>
      </c>
      <c r="B704" t="s">
        <v>118</v>
      </c>
    </row>
    <row r="705" spans="1:2" x14ac:dyDescent="0.4">
      <c r="A705" t="s">
        <v>118</v>
      </c>
      <c r="B705" t="s">
        <v>118</v>
      </c>
    </row>
    <row r="706" spans="1:2" x14ac:dyDescent="0.4">
      <c r="A706" t="s">
        <v>118</v>
      </c>
      <c r="B706" t="s">
        <v>118</v>
      </c>
    </row>
    <row r="707" spans="1:2" x14ac:dyDescent="0.4">
      <c r="A707" t="s">
        <v>118</v>
      </c>
      <c r="B707" t="s">
        <v>118</v>
      </c>
    </row>
    <row r="708" spans="1:2" x14ac:dyDescent="0.4">
      <c r="A708" t="s">
        <v>118</v>
      </c>
      <c r="B708" t="s">
        <v>118</v>
      </c>
    </row>
    <row r="709" spans="1:2" x14ac:dyDescent="0.4">
      <c r="A709" t="s">
        <v>118</v>
      </c>
      <c r="B709" t="s">
        <v>118</v>
      </c>
    </row>
    <row r="710" spans="1:2" x14ac:dyDescent="0.4">
      <c r="A710" t="s">
        <v>118</v>
      </c>
      <c r="B710" t="s">
        <v>118</v>
      </c>
    </row>
    <row r="711" spans="1:2" x14ac:dyDescent="0.4">
      <c r="A711" t="s">
        <v>118</v>
      </c>
      <c r="B711" t="s">
        <v>118</v>
      </c>
    </row>
    <row r="712" spans="1:2" x14ac:dyDescent="0.4">
      <c r="A712" t="s">
        <v>118</v>
      </c>
      <c r="B712" t="s">
        <v>118</v>
      </c>
    </row>
    <row r="713" spans="1:2" x14ac:dyDescent="0.4">
      <c r="A713" t="s">
        <v>118</v>
      </c>
      <c r="B713" t="s">
        <v>118</v>
      </c>
    </row>
    <row r="714" spans="1:2" x14ac:dyDescent="0.4">
      <c r="A714" t="s">
        <v>118</v>
      </c>
      <c r="B714" t="s">
        <v>118</v>
      </c>
    </row>
    <row r="715" spans="1:2" x14ac:dyDescent="0.4">
      <c r="A715" t="s">
        <v>118</v>
      </c>
      <c r="B715" t="s">
        <v>118</v>
      </c>
    </row>
    <row r="716" spans="1:2" x14ac:dyDescent="0.4">
      <c r="A716" t="s">
        <v>118</v>
      </c>
      <c r="B716" t="s">
        <v>118</v>
      </c>
    </row>
    <row r="717" spans="1:2" x14ac:dyDescent="0.4">
      <c r="A717" t="s">
        <v>118</v>
      </c>
      <c r="B717" t="s">
        <v>118</v>
      </c>
    </row>
    <row r="718" spans="1:2" x14ac:dyDescent="0.4">
      <c r="A718" t="s">
        <v>118</v>
      </c>
      <c r="B718" t="s">
        <v>118</v>
      </c>
    </row>
    <row r="719" spans="1:2" x14ac:dyDescent="0.4">
      <c r="A719" t="s">
        <v>118</v>
      </c>
      <c r="B719" t="s">
        <v>118</v>
      </c>
    </row>
    <row r="720" spans="1:2" x14ac:dyDescent="0.4">
      <c r="A720" t="s">
        <v>118</v>
      </c>
      <c r="B720" t="s">
        <v>118</v>
      </c>
    </row>
    <row r="721" spans="1:2" x14ac:dyDescent="0.4">
      <c r="A721" t="s">
        <v>118</v>
      </c>
      <c r="B721" t="s">
        <v>118</v>
      </c>
    </row>
    <row r="722" spans="1:2" x14ac:dyDescent="0.4">
      <c r="A722" t="s">
        <v>118</v>
      </c>
      <c r="B722" t="s">
        <v>118</v>
      </c>
    </row>
    <row r="723" spans="1:2" x14ac:dyDescent="0.4">
      <c r="A723" t="s">
        <v>118</v>
      </c>
      <c r="B723" t="s">
        <v>118</v>
      </c>
    </row>
    <row r="724" spans="1:2" x14ac:dyDescent="0.4">
      <c r="A724" t="s">
        <v>118</v>
      </c>
      <c r="B724" t="s">
        <v>118</v>
      </c>
    </row>
    <row r="725" spans="1:2" x14ac:dyDescent="0.4">
      <c r="A725" t="s">
        <v>118</v>
      </c>
      <c r="B725" t="s">
        <v>118</v>
      </c>
    </row>
    <row r="726" spans="1:2" x14ac:dyDescent="0.4">
      <c r="A726" t="s">
        <v>118</v>
      </c>
      <c r="B726" t="s">
        <v>118</v>
      </c>
    </row>
    <row r="727" spans="1:2" x14ac:dyDescent="0.4">
      <c r="A727" t="s">
        <v>118</v>
      </c>
      <c r="B727" t="s">
        <v>118</v>
      </c>
    </row>
    <row r="728" spans="1:2" x14ac:dyDescent="0.4">
      <c r="A728" t="s">
        <v>118</v>
      </c>
      <c r="B728" t="s">
        <v>118</v>
      </c>
    </row>
    <row r="729" spans="1:2" x14ac:dyDescent="0.4">
      <c r="A729" t="s">
        <v>118</v>
      </c>
      <c r="B729" t="s">
        <v>118</v>
      </c>
    </row>
    <row r="730" spans="1:2" x14ac:dyDescent="0.4">
      <c r="A730" t="s">
        <v>118</v>
      </c>
      <c r="B730" t="s">
        <v>118</v>
      </c>
    </row>
    <row r="731" spans="1:2" x14ac:dyDescent="0.4">
      <c r="A731" t="s">
        <v>118</v>
      </c>
      <c r="B731" t="s">
        <v>118</v>
      </c>
    </row>
    <row r="732" spans="1:2" x14ac:dyDescent="0.4">
      <c r="A732" t="s">
        <v>118</v>
      </c>
      <c r="B732" t="s">
        <v>118</v>
      </c>
    </row>
    <row r="733" spans="1:2" x14ac:dyDescent="0.4">
      <c r="A733" t="s">
        <v>118</v>
      </c>
      <c r="B733" t="s">
        <v>118</v>
      </c>
    </row>
    <row r="734" spans="1:2" x14ac:dyDescent="0.4">
      <c r="A734" t="s">
        <v>118</v>
      </c>
      <c r="B734" t="s">
        <v>118</v>
      </c>
    </row>
    <row r="735" spans="1:2" x14ac:dyDescent="0.4">
      <c r="A735" t="s">
        <v>118</v>
      </c>
      <c r="B735" t="s">
        <v>118</v>
      </c>
    </row>
    <row r="736" spans="1:2" x14ac:dyDescent="0.4">
      <c r="A736" t="s">
        <v>118</v>
      </c>
      <c r="B736" t="s">
        <v>118</v>
      </c>
    </row>
    <row r="737" spans="1:2" x14ac:dyDescent="0.4">
      <c r="A737" t="s">
        <v>118</v>
      </c>
      <c r="B737" t="s">
        <v>118</v>
      </c>
    </row>
    <row r="738" spans="1:2" x14ac:dyDescent="0.4">
      <c r="A738" t="s">
        <v>118</v>
      </c>
      <c r="B738" t="s">
        <v>118</v>
      </c>
    </row>
    <row r="739" spans="1:2" x14ac:dyDescent="0.4">
      <c r="A739" t="s">
        <v>118</v>
      </c>
      <c r="B739" t="s">
        <v>118</v>
      </c>
    </row>
    <row r="740" spans="1:2" x14ac:dyDescent="0.4">
      <c r="A740" t="s">
        <v>118</v>
      </c>
      <c r="B740" t="s">
        <v>118</v>
      </c>
    </row>
    <row r="741" spans="1:2" x14ac:dyDescent="0.4">
      <c r="A741" t="s">
        <v>118</v>
      </c>
      <c r="B741" t="s">
        <v>118</v>
      </c>
    </row>
    <row r="742" spans="1:2" x14ac:dyDescent="0.4">
      <c r="A742" t="s">
        <v>118</v>
      </c>
      <c r="B742" t="s">
        <v>118</v>
      </c>
    </row>
    <row r="743" spans="1:2" x14ac:dyDescent="0.4">
      <c r="A743" t="s">
        <v>118</v>
      </c>
      <c r="B743" t="s">
        <v>118</v>
      </c>
    </row>
    <row r="744" spans="1:2" x14ac:dyDescent="0.4">
      <c r="A744" t="s">
        <v>118</v>
      </c>
      <c r="B744" t="s">
        <v>118</v>
      </c>
    </row>
    <row r="745" spans="1:2" x14ac:dyDescent="0.4">
      <c r="A745" t="s">
        <v>118</v>
      </c>
      <c r="B745" t="s">
        <v>118</v>
      </c>
    </row>
    <row r="746" spans="1:2" x14ac:dyDescent="0.4">
      <c r="A746" t="s">
        <v>118</v>
      </c>
      <c r="B746" t="s">
        <v>118</v>
      </c>
    </row>
    <row r="747" spans="1:2" x14ac:dyDescent="0.4">
      <c r="A747" t="s">
        <v>118</v>
      </c>
      <c r="B747" t="s">
        <v>118</v>
      </c>
    </row>
    <row r="748" spans="1:2" x14ac:dyDescent="0.4">
      <c r="A748" t="s">
        <v>118</v>
      </c>
      <c r="B748" t="s">
        <v>118</v>
      </c>
    </row>
    <row r="749" spans="1:2" x14ac:dyDescent="0.4">
      <c r="A749" t="s">
        <v>118</v>
      </c>
      <c r="B749" t="s">
        <v>118</v>
      </c>
    </row>
    <row r="750" spans="1:2" x14ac:dyDescent="0.4">
      <c r="A750" t="s">
        <v>118</v>
      </c>
      <c r="B750" t="s">
        <v>118</v>
      </c>
    </row>
    <row r="751" spans="1:2" x14ac:dyDescent="0.4">
      <c r="A751" t="s">
        <v>118</v>
      </c>
      <c r="B751" t="s">
        <v>118</v>
      </c>
    </row>
    <row r="752" spans="1:2" x14ac:dyDescent="0.4">
      <c r="A752" t="s">
        <v>118</v>
      </c>
      <c r="B752" t="s">
        <v>118</v>
      </c>
    </row>
    <row r="753" spans="1:2" x14ac:dyDescent="0.4">
      <c r="A753" t="s">
        <v>118</v>
      </c>
      <c r="B753" t="s">
        <v>118</v>
      </c>
    </row>
    <row r="754" spans="1:2" x14ac:dyDescent="0.4">
      <c r="A754" t="s">
        <v>118</v>
      </c>
      <c r="B754" t="s">
        <v>118</v>
      </c>
    </row>
    <row r="755" spans="1:2" x14ac:dyDescent="0.4">
      <c r="A755" t="s">
        <v>118</v>
      </c>
      <c r="B755" t="s">
        <v>118</v>
      </c>
    </row>
    <row r="756" spans="1:2" x14ac:dyDescent="0.4">
      <c r="A756" t="s">
        <v>118</v>
      </c>
      <c r="B756" t="s">
        <v>118</v>
      </c>
    </row>
    <row r="757" spans="1:2" x14ac:dyDescent="0.4">
      <c r="A757" t="s">
        <v>118</v>
      </c>
      <c r="B757" t="s">
        <v>118</v>
      </c>
    </row>
    <row r="758" spans="1:2" x14ac:dyDescent="0.4">
      <c r="A758" t="s">
        <v>118</v>
      </c>
      <c r="B758" t="s">
        <v>118</v>
      </c>
    </row>
    <row r="759" spans="1:2" x14ac:dyDescent="0.4">
      <c r="A759" t="s">
        <v>118</v>
      </c>
      <c r="B759" t="s">
        <v>118</v>
      </c>
    </row>
    <row r="760" spans="1:2" x14ac:dyDescent="0.4">
      <c r="A760" t="s">
        <v>118</v>
      </c>
      <c r="B760" t="s">
        <v>118</v>
      </c>
    </row>
    <row r="761" spans="1:2" x14ac:dyDescent="0.4">
      <c r="A761" t="s">
        <v>118</v>
      </c>
      <c r="B761" t="s">
        <v>118</v>
      </c>
    </row>
    <row r="762" spans="1:2" x14ac:dyDescent="0.4">
      <c r="A762" t="s">
        <v>118</v>
      </c>
      <c r="B762" t="s">
        <v>118</v>
      </c>
    </row>
    <row r="763" spans="1:2" x14ac:dyDescent="0.4">
      <c r="A763" t="s">
        <v>118</v>
      </c>
      <c r="B763" t="s">
        <v>118</v>
      </c>
    </row>
    <row r="764" spans="1:2" x14ac:dyDescent="0.4">
      <c r="A764" t="s">
        <v>118</v>
      </c>
      <c r="B764" t="s">
        <v>118</v>
      </c>
    </row>
    <row r="765" spans="1:2" x14ac:dyDescent="0.4">
      <c r="A765" t="s">
        <v>118</v>
      </c>
      <c r="B765" t="s">
        <v>118</v>
      </c>
    </row>
    <row r="766" spans="1:2" x14ac:dyDescent="0.4">
      <c r="A766" t="s">
        <v>118</v>
      </c>
      <c r="B766" t="s">
        <v>118</v>
      </c>
    </row>
    <row r="767" spans="1:2" x14ac:dyDescent="0.4">
      <c r="A767" t="s">
        <v>118</v>
      </c>
      <c r="B767" t="s">
        <v>118</v>
      </c>
    </row>
    <row r="768" spans="1:2" x14ac:dyDescent="0.4">
      <c r="A768" t="s">
        <v>118</v>
      </c>
      <c r="B768" t="s">
        <v>118</v>
      </c>
    </row>
    <row r="769" spans="1:2" x14ac:dyDescent="0.4">
      <c r="A769" t="s">
        <v>118</v>
      </c>
      <c r="B769" t="s">
        <v>118</v>
      </c>
    </row>
    <row r="770" spans="1:2" x14ac:dyDescent="0.4">
      <c r="A770" t="s">
        <v>118</v>
      </c>
      <c r="B770" t="s">
        <v>118</v>
      </c>
    </row>
    <row r="771" spans="1:2" x14ac:dyDescent="0.4">
      <c r="A771" t="s">
        <v>118</v>
      </c>
      <c r="B771" t="s">
        <v>118</v>
      </c>
    </row>
    <row r="772" spans="1:2" x14ac:dyDescent="0.4">
      <c r="A772" t="s">
        <v>118</v>
      </c>
      <c r="B772" t="s">
        <v>118</v>
      </c>
    </row>
    <row r="773" spans="1:2" x14ac:dyDescent="0.4">
      <c r="A773" t="s">
        <v>118</v>
      </c>
      <c r="B773" t="s">
        <v>118</v>
      </c>
    </row>
    <row r="774" spans="1:2" x14ac:dyDescent="0.4">
      <c r="A774" t="s">
        <v>118</v>
      </c>
      <c r="B774" t="s">
        <v>118</v>
      </c>
    </row>
    <row r="775" spans="1:2" x14ac:dyDescent="0.4">
      <c r="A775" t="s">
        <v>118</v>
      </c>
      <c r="B775" t="s">
        <v>118</v>
      </c>
    </row>
    <row r="776" spans="1:2" x14ac:dyDescent="0.4">
      <c r="A776" t="s">
        <v>118</v>
      </c>
      <c r="B776" t="s">
        <v>118</v>
      </c>
    </row>
    <row r="777" spans="1:2" x14ac:dyDescent="0.4">
      <c r="A777" t="s">
        <v>118</v>
      </c>
      <c r="B777" t="s">
        <v>118</v>
      </c>
    </row>
    <row r="778" spans="1:2" x14ac:dyDescent="0.4">
      <c r="A778" t="s">
        <v>118</v>
      </c>
      <c r="B778" t="s">
        <v>118</v>
      </c>
    </row>
    <row r="779" spans="1:2" x14ac:dyDescent="0.4">
      <c r="A779" t="s">
        <v>118</v>
      </c>
      <c r="B779" t="s">
        <v>118</v>
      </c>
    </row>
    <row r="780" spans="1:2" x14ac:dyDescent="0.4">
      <c r="A780" t="s">
        <v>118</v>
      </c>
      <c r="B780" t="s">
        <v>118</v>
      </c>
    </row>
    <row r="781" spans="1:2" x14ac:dyDescent="0.4">
      <c r="A781" t="s">
        <v>118</v>
      </c>
      <c r="B781" t="s">
        <v>118</v>
      </c>
    </row>
    <row r="782" spans="1:2" x14ac:dyDescent="0.4">
      <c r="A782" t="s">
        <v>118</v>
      </c>
      <c r="B782" t="s">
        <v>118</v>
      </c>
    </row>
    <row r="783" spans="1:2" x14ac:dyDescent="0.4">
      <c r="A783" t="s">
        <v>118</v>
      </c>
      <c r="B783" t="s">
        <v>118</v>
      </c>
    </row>
    <row r="784" spans="1:2" x14ac:dyDescent="0.4">
      <c r="A784" t="s">
        <v>118</v>
      </c>
      <c r="B784" t="s">
        <v>118</v>
      </c>
    </row>
    <row r="785" spans="1:2" x14ac:dyDescent="0.4">
      <c r="A785" t="s">
        <v>118</v>
      </c>
      <c r="B785" t="s">
        <v>118</v>
      </c>
    </row>
    <row r="786" spans="1:2" x14ac:dyDescent="0.4">
      <c r="A786" t="s">
        <v>118</v>
      </c>
      <c r="B786" t="s">
        <v>118</v>
      </c>
    </row>
    <row r="787" spans="1:2" x14ac:dyDescent="0.4">
      <c r="A787" t="s">
        <v>118</v>
      </c>
      <c r="B787" t="s">
        <v>118</v>
      </c>
    </row>
    <row r="788" spans="1:2" x14ac:dyDescent="0.4">
      <c r="A788" t="s">
        <v>118</v>
      </c>
      <c r="B788" t="s">
        <v>118</v>
      </c>
    </row>
    <row r="789" spans="1:2" x14ac:dyDescent="0.4">
      <c r="A789" t="s">
        <v>118</v>
      </c>
      <c r="B789" t="s">
        <v>118</v>
      </c>
    </row>
    <row r="790" spans="1:2" x14ac:dyDescent="0.4">
      <c r="A790" t="s">
        <v>118</v>
      </c>
      <c r="B790" t="s">
        <v>118</v>
      </c>
    </row>
    <row r="791" spans="1:2" x14ac:dyDescent="0.4">
      <c r="A791" t="s">
        <v>118</v>
      </c>
      <c r="B791" t="s">
        <v>118</v>
      </c>
    </row>
    <row r="792" spans="1:2" x14ac:dyDescent="0.4">
      <c r="A792" t="s">
        <v>118</v>
      </c>
      <c r="B792" t="s">
        <v>118</v>
      </c>
    </row>
    <row r="793" spans="1:2" x14ac:dyDescent="0.4">
      <c r="A793" t="s">
        <v>118</v>
      </c>
      <c r="B793" t="s">
        <v>118</v>
      </c>
    </row>
    <row r="794" spans="1:2" x14ac:dyDescent="0.4">
      <c r="A794" t="s">
        <v>118</v>
      </c>
      <c r="B794" t="s">
        <v>118</v>
      </c>
    </row>
    <row r="795" spans="1:2" x14ac:dyDescent="0.4">
      <c r="A795" t="s">
        <v>118</v>
      </c>
      <c r="B795" t="s">
        <v>118</v>
      </c>
    </row>
    <row r="796" spans="1:2" x14ac:dyDescent="0.4">
      <c r="A796" t="s">
        <v>118</v>
      </c>
      <c r="B796" t="s">
        <v>118</v>
      </c>
    </row>
    <row r="797" spans="1:2" x14ac:dyDescent="0.4">
      <c r="A797" t="s">
        <v>118</v>
      </c>
      <c r="B797" t="s">
        <v>118</v>
      </c>
    </row>
    <row r="798" spans="1:2" x14ac:dyDescent="0.4">
      <c r="A798" t="s">
        <v>118</v>
      </c>
      <c r="B798" t="s">
        <v>118</v>
      </c>
    </row>
    <row r="799" spans="1:2" x14ac:dyDescent="0.4">
      <c r="A799" t="s">
        <v>118</v>
      </c>
      <c r="B799" t="s">
        <v>118</v>
      </c>
    </row>
    <row r="800" spans="1:2" x14ac:dyDescent="0.4">
      <c r="A800" t="s">
        <v>118</v>
      </c>
      <c r="B800" t="s">
        <v>118</v>
      </c>
    </row>
    <row r="801" spans="1:2" x14ac:dyDescent="0.4">
      <c r="A801" t="s">
        <v>118</v>
      </c>
      <c r="B801" t="s">
        <v>118</v>
      </c>
    </row>
    <row r="802" spans="1:2" x14ac:dyDescent="0.4">
      <c r="A802" t="s">
        <v>118</v>
      </c>
      <c r="B802" t="s">
        <v>118</v>
      </c>
    </row>
    <row r="803" spans="1:2" x14ac:dyDescent="0.4">
      <c r="A803" t="s">
        <v>118</v>
      </c>
      <c r="B803" t="s">
        <v>118</v>
      </c>
    </row>
    <row r="804" spans="1:2" x14ac:dyDescent="0.4">
      <c r="A804" t="s">
        <v>118</v>
      </c>
      <c r="B804" t="s">
        <v>118</v>
      </c>
    </row>
    <row r="805" spans="1:2" x14ac:dyDescent="0.4">
      <c r="A805" t="s">
        <v>118</v>
      </c>
      <c r="B805" t="s">
        <v>118</v>
      </c>
    </row>
    <row r="806" spans="1:2" x14ac:dyDescent="0.4">
      <c r="A806" t="s">
        <v>118</v>
      </c>
      <c r="B806" t="s">
        <v>118</v>
      </c>
    </row>
    <row r="807" spans="1:2" x14ac:dyDescent="0.4">
      <c r="A807" t="s">
        <v>118</v>
      </c>
      <c r="B807" t="s">
        <v>118</v>
      </c>
    </row>
    <row r="808" spans="1:2" x14ac:dyDescent="0.4">
      <c r="A808" t="s">
        <v>118</v>
      </c>
      <c r="B808" t="s">
        <v>118</v>
      </c>
    </row>
    <row r="809" spans="1:2" x14ac:dyDescent="0.4">
      <c r="A809" t="s">
        <v>118</v>
      </c>
      <c r="B809" t="s">
        <v>118</v>
      </c>
    </row>
    <row r="810" spans="1:2" x14ac:dyDescent="0.4">
      <c r="A810" t="s">
        <v>118</v>
      </c>
      <c r="B810" t="s">
        <v>118</v>
      </c>
    </row>
    <row r="811" spans="1:2" x14ac:dyDescent="0.4">
      <c r="A811" t="s">
        <v>118</v>
      </c>
      <c r="B811" t="s">
        <v>118</v>
      </c>
    </row>
    <row r="812" spans="1:2" x14ac:dyDescent="0.4">
      <c r="A812" t="s">
        <v>118</v>
      </c>
      <c r="B812" t="s">
        <v>118</v>
      </c>
    </row>
    <row r="813" spans="1:2" x14ac:dyDescent="0.4">
      <c r="A813" t="s">
        <v>118</v>
      </c>
      <c r="B813" t="s">
        <v>118</v>
      </c>
    </row>
    <row r="814" spans="1:2" x14ac:dyDescent="0.4">
      <c r="A814" t="s">
        <v>118</v>
      </c>
      <c r="B814" t="s">
        <v>118</v>
      </c>
    </row>
    <row r="815" spans="1:2" x14ac:dyDescent="0.4">
      <c r="A815" t="s">
        <v>118</v>
      </c>
      <c r="B815" t="s">
        <v>118</v>
      </c>
    </row>
    <row r="816" spans="1:2" x14ac:dyDescent="0.4">
      <c r="A816" t="s">
        <v>118</v>
      </c>
      <c r="B816" t="s">
        <v>118</v>
      </c>
    </row>
    <row r="817" spans="1:2" x14ac:dyDescent="0.4">
      <c r="A817" t="s">
        <v>118</v>
      </c>
      <c r="B817" t="s">
        <v>118</v>
      </c>
    </row>
    <row r="818" spans="1:2" x14ac:dyDescent="0.4">
      <c r="A818" t="s">
        <v>118</v>
      </c>
      <c r="B818" t="s">
        <v>118</v>
      </c>
    </row>
    <row r="819" spans="1:2" x14ac:dyDescent="0.4">
      <c r="A819" t="s">
        <v>118</v>
      </c>
      <c r="B819" t="s">
        <v>118</v>
      </c>
    </row>
    <row r="820" spans="1:2" x14ac:dyDescent="0.4">
      <c r="A820" t="s">
        <v>118</v>
      </c>
      <c r="B820" t="s">
        <v>118</v>
      </c>
    </row>
    <row r="821" spans="1:2" x14ac:dyDescent="0.4">
      <c r="A821" t="s">
        <v>118</v>
      </c>
      <c r="B821" t="s">
        <v>118</v>
      </c>
    </row>
    <row r="822" spans="1:2" x14ac:dyDescent="0.4">
      <c r="A822" t="s">
        <v>118</v>
      </c>
      <c r="B822" t="s">
        <v>118</v>
      </c>
    </row>
    <row r="823" spans="1:2" x14ac:dyDescent="0.4">
      <c r="A823" t="s">
        <v>118</v>
      </c>
      <c r="B823" t="s">
        <v>118</v>
      </c>
    </row>
    <row r="824" spans="1:2" x14ac:dyDescent="0.4">
      <c r="A824" t="s">
        <v>118</v>
      </c>
      <c r="B824" t="s">
        <v>118</v>
      </c>
    </row>
    <row r="825" spans="1:2" x14ac:dyDescent="0.4">
      <c r="A825" t="s">
        <v>118</v>
      </c>
      <c r="B825" t="s">
        <v>118</v>
      </c>
    </row>
    <row r="826" spans="1:2" x14ac:dyDescent="0.4">
      <c r="A826" t="s">
        <v>118</v>
      </c>
      <c r="B826" t="s">
        <v>118</v>
      </c>
    </row>
    <row r="827" spans="1:2" x14ac:dyDescent="0.4">
      <c r="A827" t="s">
        <v>118</v>
      </c>
      <c r="B827" t="s">
        <v>118</v>
      </c>
    </row>
    <row r="828" spans="1:2" x14ac:dyDescent="0.4">
      <c r="A828" t="s">
        <v>118</v>
      </c>
      <c r="B828" t="s">
        <v>118</v>
      </c>
    </row>
    <row r="829" spans="1:2" x14ac:dyDescent="0.4">
      <c r="A829" t="s">
        <v>118</v>
      </c>
      <c r="B829" t="s">
        <v>118</v>
      </c>
    </row>
    <row r="830" spans="1:2" x14ac:dyDescent="0.4">
      <c r="A830" t="s">
        <v>118</v>
      </c>
      <c r="B830" t="s">
        <v>118</v>
      </c>
    </row>
    <row r="831" spans="1:2" x14ac:dyDescent="0.4">
      <c r="A831" t="s">
        <v>118</v>
      </c>
      <c r="B831" t="s">
        <v>118</v>
      </c>
    </row>
    <row r="832" spans="1:2" x14ac:dyDescent="0.4">
      <c r="A832" t="s">
        <v>118</v>
      </c>
      <c r="B832" t="s">
        <v>118</v>
      </c>
    </row>
    <row r="833" spans="1:2" x14ac:dyDescent="0.4">
      <c r="A833" t="s">
        <v>118</v>
      </c>
      <c r="B833" t="s">
        <v>118</v>
      </c>
    </row>
    <row r="834" spans="1:2" x14ac:dyDescent="0.4">
      <c r="A834" t="s">
        <v>118</v>
      </c>
      <c r="B834" t="s">
        <v>118</v>
      </c>
    </row>
    <row r="835" spans="1:2" x14ac:dyDescent="0.4">
      <c r="A835" t="s">
        <v>118</v>
      </c>
      <c r="B835" t="s">
        <v>118</v>
      </c>
    </row>
    <row r="836" spans="1:2" x14ac:dyDescent="0.4">
      <c r="A836" t="s">
        <v>118</v>
      </c>
      <c r="B836" t="s">
        <v>118</v>
      </c>
    </row>
    <row r="837" spans="1:2" x14ac:dyDescent="0.4">
      <c r="A837" t="s">
        <v>118</v>
      </c>
      <c r="B837" t="s">
        <v>118</v>
      </c>
    </row>
    <row r="838" spans="1:2" x14ac:dyDescent="0.4">
      <c r="A838" t="s">
        <v>118</v>
      </c>
      <c r="B838" t="s">
        <v>118</v>
      </c>
    </row>
    <row r="839" spans="1:2" x14ac:dyDescent="0.4">
      <c r="A839" t="s">
        <v>118</v>
      </c>
      <c r="B839" t="s">
        <v>118</v>
      </c>
    </row>
    <row r="840" spans="1:2" x14ac:dyDescent="0.4">
      <c r="A840" t="s">
        <v>118</v>
      </c>
      <c r="B840" t="s">
        <v>118</v>
      </c>
    </row>
    <row r="841" spans="1:2" x14ac:dyDescent="0.4">
      <c r="A841" t="s">
        <v>118</v>
      </c>
      <c r="B841" t="s">
        <v>118</v>
      </c>
    </row>
    <row r="842" spans="1:2" x14ac:dyDescent="0.4">
      <c r="A842" t="s">
        <v>118</v>
      </c>
      <c r="B842" t="s">
        <v>118</v>
      </c>
    </row>
    <row r="843" spans="1:2" x14ac:dyDescent="0.4">
      <c r="A843" t="s">
        <v>118</v>
      </c>
      <c r="B843" t="s">
        <v>118</v>
      </c>
    </row>
    <row r="844" spans="1:2" x14ac:dyDescent="0.4">
      <c r="A844" t="s">
        <v>118</v>
      </c>
      <c r="B844" t="s">
        <v>118</v>
      </c>
    </row>
    <row r="845" spans="1:2" x14ac:dyDescent="0.4">
      <c r="A845" t="s">
        <v>118</v>
      </c>
      <c r="B845" t="s">
        <v>118</v>
      </c>
    </row>
    <row r="846" spans="1:2" x14ac:dyDescent="0.4">
      <c r="A846" t="s">
        <v>118</v>
      </c>
      <c r="B846" t="s">
        <v>118</v>
      </c>
    </row>
    <row r="847" spans="1:2" x14ac:dyDescent="0.4">
      <c r="A847" t="s">
        <v>118</v>
      </c>
      <c r="B847" t="s">
        <v>118</v>
      </c>
    </row>
    <row r="848" spans="1:2" x14ac:dyDescent="0.4">
      <c r="A848" t="s">
        <v>118</v>
      </c>
      <c r="B848" t="s">
        <v>118</v>
      </c>
    </row>
    <row r="849" spans="1:2" x14ac:dyDescent="0.4">
      <c r="A849" t="s">
        <v>118</v>
      </c>
      <c r="B849" t="s">
        <v>118</v>
      </c>
    </row>
    <row r="850" spans="1:2" x14ac:dyDescent="0.4">
      <c r="A850" t="s">
        <v>118</v>
      </c>
      <c r="B850" t="s">
        <v>118</v>
      </c>
    </row>
    <row r="851" spans="1:2" x14ac:dyDescent="0.4">
      <c r="A851" t="s">
        <v>118</v>
      </c>
      <c r="B851" t="s">
        <v>118</v>
      </c>
    </row>
    <row r="852" spans="1:2" x14ac:dyDescent="0.4">
      <c r="A852" t="s">
        <v>118</v>
      </c>
      <c r="B852" t="s">
        <v>118</v>
      </c>
    </row>
    <row r="853" spans="1:2" x14ac:dyDescent="0.4">
      <c r="A853" t="s">
        <v>118</v>
      </c>
      <c r="B853" t="s">
        <v>118</v>
      </c>
    </row>
    <row r="854" spans="1:2" x14ac:dyDescent="0.4">
      <c r="A854" t="s">
        <v>118</v>
      </c>
      <c r="B854" t="s">
        <v>118</v>
      </c>
    </row>
    <row r="855" spans="1:2" x14ac:dyDescent="0.4">
      <c r="A855" t="s">
        <v>118</v>
      </c>
      <c r="B855" t="s">
        <v>118</v>
      </c>
    </row>
    <row r="856" spans="1:2" x14ac:dyDescent="0.4">
      <c r="A856" t="s">
        <v>118</v>
      </c>
      <c r="B856" t="s">
        <v>118</v>
      </c>
    </row>
    <row r="857" spans="1:2" x14ac:dyDescent="0.4">
      <c r="A857" t="s">
        <v>118</v>
      </c>
      <c r="B857" t="s">
        <v>118</v>
      </c>
    </row>
    <row r="858" spans="1:2" x14ac:dyDescent="0.4">
      <c r="A858" t="s">
        <v>118</v>
      </c>
      <c r="B858" t="s">
        <v>118</v>
      </c>
    </row>
    <row r="859" spans="1:2" x14ac:dyDescent="0.4">
      <c r="A859" t="s">
        <v>118</v>
      </c>
      <c r="B859" t="s">
        <v>118</v>
      </c>
    </row>
    <row r="860" spans="1:2" x14ac:dyDescent="0.4">
      <c r="A860" t="s">
        <v>118</v>
      </c>
      <c r="B860" t="s">
        <v>118</v>
      </c>
    </row>
    <row r="861" spans="1:2" x14ac:dyDescent="0.4">
      <c r="A861" t="s">
        <v>118</v>
      </c>
      <c r="B861" t="s">
        <v>118</v>
      </c>
    </row>
    <row r="862" spans="1:2" x14ac:dyDescent="0.4">
      <c r="A862" t="s">
        <v>118</v>
      </c>
      <c r="B862" t="s">
        <v>118</v>
      </c>
    </row>
    <row r="863" spans="1:2" x14ac:dyDescent="0.4">
      <c r="A863" t="s">
        <v>118</v>
      </c>
      <c r="B863" t="s">
        <v>118</v>
      </c>
    </row>
    <row r="864" spans="1:2" x14ac:dyDescent="0.4">
      <c r="A864" t="s">
        <v>118</v>
      </c>
      <c r="B864" t="s">
        <v>118</v>
      </c>
    </row>
    <row r="865" spans="1:2" x14ac:dyDescent="0.4">
      <c r="A865" t="s">
        <v>118</v>
      </c>
      <c r="B865" t="s">
        <v>118</v>
      </c>
    </row>
    <row r="866" spans="1:2" x14ac:dyDescent="0.4">
      <c r="A866" t="s">
        <v>118</v>
      </c>
      <c r="B866" t="s">
        <v>118</v>
      </c>
    </row>
    <row r="867" spans="1:2" x14ac:dyDescent="0.4">
      <c r="A867" t="s">
        <v>118</v>
      </c>
      <c r="B867" t="s">
        <v>118</v>
      </c>
    </row>
    <row r="868" spans="1:2" x14ac:dyDescent="0.4">
      <c r="A868" t="s">
        <v>118</v>
      </c>
      <c r="B868" t="s">
        <v>118</v>
      </c>
    </row>
    <row r="869" spans="1:2" x14ac:dyDescent="0.4">
      <c r="A869" t="s">
        <v>118</v>
      </c>
      <c r="B869" t="s">
        <v>118</v>
      </c>
    </row>
    <row r="870" spans="1:2" x14ac:dyDescent="0.4">
      <c r="A870" t="s">
        <v>118</v>
      </c>
      <c r="B870" t="s">
        <v>118</v>
      </c>
    </row>
    <row r="871" spans="1:2" x14ac:dyDescent="0.4">
      <c r="A871" t="s">
        <v>118</v>
      </c>
      <c r="B871" t="s">
        <v>118</v>
      </c>
    </row>
    <row r="872" spans="1:2" x14ac:dyDescent="0.4">
      <c r="A872" t="s">
        <v>118</v>
      </c>
      <c r="B872" t="s">
        <v>118</v>
      </c>
    </row>
    <row r="873" spans="1:2" x14ac:dyDescent="0.4">
      <c r="A873" t="s">
        <v>118</v>
      </c>
      <c r="B873" t="s">
        <v>118</v>
      </c>
    </row>
    <row r="874" spans="1:2" x14ac:dyDescent="0.4">
      <c r="A874" t="s">
        <v>118</v>
      </c>
      <c r="B874" t="s">
        <v>118</v>
      </c>
    </row>
    <row r="875" spans="1:2" x14ac:dyDescent="0.4">
      <c r="A875" t="s">
        <v>118</v>
      </c>
      <c r="B875" t="s">
        <v>118</v>
      </c>
    </row>
    <row r="876" spans="1:2" x14ac:dyDescent="0.4">
      <c r="A876" t="s">
        <v>118</v>
      </c>
      <c r="B876" t="s">
        <v>118</v>
      </c>
    </row>
    <row r="877" spans="1:2" x14ac:dyDescent="0.4">
      <c r="A877" t="s">
        <v>118</v>
      </c>
      <c r="B877" t="s">
        <v>118</v>
      </c>
    </row>
    <row r="878" spans="1:2" x14ac:dyDescent="0.4">
      <c r="A878" t="s">
        <v>118</v>
      </c>
      <c r="B878" t="s">
        <v>118</v>
      </c>
    </row>
    <row r="879" spans="1:2" x14ac:dyDescent="0.4">
      <c r="A879" t="s">
        <v>118</v>
      </c>
      <c r="B879" t="s">
        <v>118</v>
      </c>
    </row>
    <row r="880" spans="1:2" x14ac:dyDescent="0.4">
      <c r="A880" t="s">
        <v>118</v>
      </c>
      <c r="B880" t="s">
        <v>118</v>
      </c>
    </row>
    <row r="881" spans="1:2" x14ac:dyDescent="0.4">
      <c r="A881" t="s">
        <v>118</v>
      </c>
      <c r="B881" t="s">
        <v>118</v>
      </c>
    </row>
    <row r="882" spans="1:2" x14ac:dyDescent="0.4">
      <c r="A882" t="s">
        <v>118</v>
      </c>
      <c r="B882" t="s">
        <v>118</v>
      </c>
    </row>
    <row r="883" spans="1:2" x14ac:dyDescent="0.4">
      <c r="A883" t="s">
        <v>118</v>
      </c>
      <c r="B883" t="s">
        <v>118</v>
      </c>
    </row>
    <row r="884" spans="1:2" x14ac:dyDescent="0.4">
      <c r="A884" t="s">
        <v>118</v>
      </c>
      <c r="B884" t="s">
        <v>118</v>
      </c>
    </row>
    <row r="885" spans="1:2" x14ac:dyDescent="0.4">
      <c r="A885" t="s">
        <v>118</v>
      </c>
      <c r="B885" t="s">
        <v>118</v>
      </c>
    </row>
    <row r="886" spans="1:2" x14ac:dyDescent="0.4">
      <c r="A886" t="s">
        <v>118</v>
      </c>
      <c r="B886" t="s">
        <v>118</v>
      </c>
    </row>
    <row r="887" spans="1:2" x14ac:dyDescent="0.4">
      <c r="A887" t="s">
        <v>118</v>
      </c>
      <c r="B887" t="s">
        <v>118</v>
      </c>
    </row>
    <row r="888" spans="1:2" x14ac:dyDescent="0.4">
      <c r="A888" t="s">
        <v>118</v>
      </c>
      <c r="B888" t="s">
        <v>118</v>
      </c>
    </row>
    <row r="889" spans="1:2" x14ac:dyDescent="0.4">
      <c r="A889" t="s">
        <v>118</v>
      </c>
      <c r="B889" t="s">
        <v>118</v>
      </c>
    </row>
    <row r="890" spans="1:2" x14ac:dyDescent="0.4">
      <c r="A890" t="s">
        <v>118</v>
      </c>
      <c r="B890" t="s">
        <v>118</v>
      </c>
    </row>
    <row r="891" spans="1:2" x14ac:dyDescent="0.4">
      <c r="A891" t="s">
        <v>118</v>
      </c>
      <c r="B891" t="s">
        <v>118</v>
      </c>
    </row>
    <row r="892" spans="1:2" x14ac:dyDescent="0.4">
      <c r="A892" t="s">
        <v>118</v>
      </c>
      <c r="B892" t="s">
        <v>118</v>
      </c>
    </row>
    <row r="893" spans="1:2" x14ac:dyDescent="0.4">
      <c r="A893" t="s">
        <v>118</v>
      </c>
      <c r="B893" t="s">
        <v>118</v>
      </c>
    </row>
    <row r="894" spans="1:2" x14ac:dyDescent="0.4">
      <c r="A894" t="s">
        <v>118</v>
      </c>
      <c r="B894" t="s">
        <v>118</v>
      </c>
    </row>
    <row r="895" spans="1:2" x14ac:dyDescent="0.4">
      <c r="A895" t="s">
        <v>118</v>
      </c>
      <c r="B895" t="s">
        <v>118</v>
      </c>
    </row>
    <row r="896" spans="1:2" x14ac:dyDescent="0.4">
      <c r="A896" t="s">
        <v>118</v>
      </c>
      <c r="B896" t="s">
        <v>118</v>
      </c>
    </row>
    <row r="897" spans="1:2" x14ac:dyDescent="0.4">
      <c r="A897" t="s">
        <v>118</v>
      </c>
      <c r="B897" t="s">
        <v>118</v>
      </c>
    </row>
    <row r="898" spans="1:2" x14ac:dyDescent="0.4">
      <c r="A898" t="s">
        <v>118</v>
      </c>
      <c r="B898" t="s">
        <v>118</v>
      </c>
    </row>
    <row r="899" spans="1:2" x14ac:dyDescent="0.4">
      <c r="A899" t="s">
        <v>118</v>
      </c>
      <c r="B899" t="s">
        <v>118</v>
      </c>
    </row>
    <row r="900" spans="1:2" x14ac:dyDescent="0.4">
      <c r="A900" t="s">
        <v>118</v>
      </c>
      <c r="B900" t="s">
        <v>118</v>
      </c>
    </row>
    <row r="901" spans="1:2" x14ac:dyDescent="0.4">
      <c r="A901" t="s">
        <v>118</v>
      </c>
      <c r="B901" t="s">
        <v>118</v>
      </c>
    </row>
    <row r="902" spans="1:2" x14ac:dyDescent="0.4">
      <c r="A902" t="s">
        <v>118</v>
      </c>
      <c r="B902" t="s">
        <v>118</v>
      </c>
    </row>
    <row r="903" spans="1:2" x14ac:dyDescent="0.4">
      <c r="A903" t="s">
        <v>118</v>
      </c>
      <c r="B903" t="s">
        <v>118</v>
      </c>
    </row>
    <row r="904" spans="1:2" x14ac:dyDescent="0.4">
      <c r="A904" t="s">
        <v>118</v>
      </c>
      <c r="B904" t="s">
        <v>118</v>
      </c>
    </row>
    <row r="905" spans="1:2" x14ac:dyDescent="0.4">
      <c r="A905" t="s">
        <v>118</v>
      </c>
      <c r="B905" t="s">
        <v>118</v>
      </c>
    </row>
    <row r="906" spans="1:2" x14ac:dyDescent="0.4">
      <c r="A906" t="s">
        <v>118</v>
      </c>
      <c r="B906" t="s">
        <v>118</v>
      </c>
    </row>
    <row r="907" spans="1:2" x14ac:dyDescent="0.4">
      <c r="A907" t="s">
        <v>118</v>
      </c>
      <c r="B907" t="s">
        <v>118</v>
      </c>
    </row>
    <row r="908" spans="1:2" x14ac:dyDescent="0.4">
      <c r="A908" t="s">
        <v>118</v>
      </c>
      <c r="B908" t="s">
        <v>118</v>
      </c>
    </row>
    <row r="909" spans="1:2" x14ac:dyDescent="0.4">
      <c r="A909" t="s">
        <v>118</v>
      </c>
      <c r="B909" t="s">
        <v>118</v>
      </c>
    </row>
    <row r="910" spans="1:2" x14ac:dyDescent="0.4">
      <c r="A910" t="s">
        <v>118</v>
      </c>
      <c r="B910" t="s">
        <v>118</v>
      </c>
    </row>
    <row r="911" spans="1:2" x14ac:dyDescent="0.4">
      <c r="A911" t="s">
        <v>118</v>
      </c>
      <c r="B911" t="s">
        <v>118</v>
      </c>
    </row>
    <row r="912" spans="1:2" x14ac:dyDescent="0.4">
      <c r="A912" t="s">
        <v>118</v>
      </c>
      <c r="B912" t="s">
        <v>118</v>
      </c>
    </row>
    <row r="913" spans="1:2" x14ac:dyDescent="0.4">
      <c r="A913" t="s">
        <v>118</v>
      </c>
      <c r="B913" t="s">
        <v>118</v>
      </c>
    </row>
    <row r="914" spans="1:2" x14ac:dyDescent="0.4">
      <c r="A914" t="s">
        <v>118</v>
      </c>
      <c r="B914" t="s">
        <v>118</v>
      </c>
    </row>
    <row r="915" spans="1:2" x14ac:dyDescent="0.4">
      <c r="A915" t="s">
        <v>118</v>
      </c>
      <c r="B915" t="s">
        <v>118</v>
      </c>
    </row>
    <row r="916" spans="1:2" x14ac:dyDescent="0.4">
      <c r="A916" t="s">
        <v>118</v>
      </c>
      <c r="B916" t="s">
        <v>118</v>
      </c>
    </row>
    <row r="917" spans="1:2" x14ac:dyDescent="0.4">
      <c r="A917" t="s">
        <v>118</v>
      </c>
      <c r="B917" t="s">
        <v>118</v>
      </c>
    </row>
    <row r="918" spans="1:2" x14ac:dyDescent="0.4">
      <c r="A918" t="s">
        <v>118</v>
      </c>
      <c r="B918" t="s">
        <v>118</v>
      </c>
    </row>
    <row r="919" spans="1:2" x14ac:dyDescent="0.4">
      <c r="A919" t="s">
        <v>118</v>
      </c>
      <c r="B919" t="s">
        <v>118</v>
      </c>
    </row>
    <row r="920" spans="1:2" x14ac:dyDescent="0.4">
      <c r="A920" t="s">
        <v>118</v>
      </c>
      <c r="B920" t="s">
        <v>118</v>
      </c>
    </row>
    <row r="921" spans="1:2" x14ac:dyDescent="0.4">
      <c r="A921" t="s">
        <v>118</v>
      </c>
      <c r="B921" t="s">
        <v>118</v>
      </c>
    </row>
    <row r="922" spans="1:2" x14ac:dyDescent="0.4">
      <c r="A922" t="s">
        <v>118</v>
      </c>
      <c r="B922" t="s">
        <v>118</v>
      </c>
    </row>
    <row r="923" spans="1:2" x14ac:dyDescent="0.4">
      <c r="A923" t="s">
        <v>118</v>
      </c>
      <c r="B923" t="s">
        <v>118</v>
      </c>
    </row>
    <row r="924" spans="1:2" x14ac:dyDescent="0.4">
      <c r="A924" t="s">
        <v>118</v>
      </c>
      <c r="B924" t="s">
        <v>118</v>
      </c>
    </row>
    <row r="925" spans="1:2" x14ac:dyDescent="0.4">
      <c r="A925" t="s">
        <v>118</v>
      </c>
      <c r="B925" t="s">
        <v>118</v>
      </c>
    </row>
    <row r="926" spans="1:2" x14ac:dyDescent="0.4">
      <c r="A926" t="s">
        <v>118</v>
      </c>
      <c r="B926" t="s">
        <v>118</v>
      </c>
    </row>
    <row r="927" spans="1:2" x14ac:dyDescent="0.4">
      <c r="A927" t="s">
        <v>118</v>
      </c>
      <c r="B927" t="s">
        <v>118</v>
      </c>
    </row>
    <row r="928" spans="1:2" x14ac:dyDescent="0.4">
      <c r="A928" t="s">
        <v>118</v>
      </c>
      <c r="B928" t="s">
        <v>118</v>
      </c>
    </row>
    <row r="929" spans="1:2" x14ac:dyDescent="0.4">
      <c r="A929" t="s">
        <v>118</v>
      </c>
      <c r="B929" t="s">
        <v>118</v>
      </c>
    </row>
    <row r="930" spans="1:2" x14ac:dyDescent="0.4">
      <c r="A930" t="s">
        <v>118</v>
      </c>
      <c r="B930" t="s">
        <v>118</v>
      </c>
    </row>
    <row r="931" spans="1:2" x14ac:dyDescent="0.4">
      <c r="A931" t="s">
        <v>118</v>
      </c>
      <c r="B931" t="s">
        <v>118</v>
      </c>
    </row>
    <row r="932" spans="1:2" x14ac:dyDescent="0.4">
      <c r="A932" t="s">
        <v>118</v>
      </c>
      <c r="B932" t="s">
        <v>118</v>
      </c>
    </row>
    <row r="933" spans="1:2" x14ac:dyDescent="0.4">
      <c r="A933" t="s">
        <v>118</v>
      </c>
      <c r="B933" t="s">
        <v>118</v>
      </c>
    </row>
    <row r="934" spans="1:2" x14ac:dyDescent="0.4">
      <c r="A934" t="s">
        <v>118</v>
      </c>
      <c r="B934" t="s">
        <v>118</v>
      </c>
    </row>
    <row r="935" spans="1:2" x14ac:dyDescent="0.4">
      <c r="A935" t="s">
        <v>118</v>
      </c>
      <c r="B935" t="s">
        <v>118</v>
      </c>
    </row>
    <row r="936" spans="1:2" x14ac:dyDescent="0.4">
      <c r="A936" t="s">
        <v>118</v>
      </c>
      <c r="B936" t="s">
        <v>118</v>
      </c>
    </row>
    <row r="937" spans="1:2" x14ac:dyDescent="0.4">
      <c r="A937" t="s">
        <v>118</v>
      </c>
      <c r="B937" t="s">
        <v>118</v>
      </c>
    </row>
    <row r="938" spans="1:2" x14ac:dyDescent="0.4">
      <c r="A938" t="s">
        <v>118</v>
      </c>
      <c r="B938" t="s">
        <v>118</v>
      </c>
    </row>
    <row r="939" spans="1:2" x14ac:dyDescent="0.4">
      <c r="A939" t="s">
        <v>118</v>
      </c>
      <c r="B939" t="s">
        <v>118</v>
      </c>
    </row>
    <row r="940" spans="1:2" x14ac:dyDescent="0.4">
      <c r="A940" t="s">
        <v>118</v>
      </c>
      <c r="B940" t="s">
        <v>118</v>
      </c>
    </row>
    <row r="941" spans="1:2" x14ac:dyDescent="0.4">
      <c r="A941" t="s">
        <v>118</v>
      </c>
      <c r="B941" t="s">
        <v>118</v>
      </c>
    </row>
    <row r="942" spans="1:2" x14ac:dyDescent="0.4">
      <c r="A942" t="s">
        <v>118</v>
      </c>
      <c r="B942" t="s">
        <v>118</v>
      </c>
    </row>
    <row r="943" spans="1:2" x14ac:dyDescent="0.4">
      <c r="A943" t="s">
        <v>118</v>
      </c>
      <c r="B943" t="s">
        <v>118</v>
      </c>
    </row>
    <row r="944" spans="1:2" x14ac:dyDescent="0.4">
      <c r="A944" t="s">
        <v>118</v>
      </c>
      <c r="B944" t="s">
        <v>118</v>
      </c>
    </row>
    <row r="945" spans="1:2" x14ac:dyDescent="0.4">
      <c r="A945" t="s">
        <v>118</v>
      </c>
      <c r="B945" t="s">
        <v>118</v>
      </c>
    </row>
    <row r="946" spans="1:2" x14ac:dyDescent="0.4">
      <c r="A946" t="s">
        <v>118</v>
      </c>
      <c r="B946" t="s">
        <v>118</v>
      </c>
    </row>
    <row r="947" spans="1:2" x14ac:dyDescent="0.4">
      <c r="A947" t="s">
        <v>118</v>
      </c>
      <c r="B947" t="s">
        <v>118</v>
      </c>
    </row>
    <row r="948" spans="1:2" x14ac:dyDescent="0.4">
      <c r="A948" t="s">
        <v>118</v>
      </c>
      <c r="B948" t="s">
        <v>118</v>
      </c>
    </row>
    <row r="949" spans="1:2" x14ac:dyDescent="0.4">
      <c r="A949" t="s">
        <v>118</v>
      </c>
      <c r="B949" t="s">
        <v>118</v>
      </c>
    </row>
    <row r="950" spans="1:2" x14ac:dyDescent="0.4">
      <c r="A950" t="s">
        <v>118</v>
      </c>
      <c r="B950" t="s">
        <v>118</v>
      </c>
    </row>
    <row r="951" spans="1:2" x14ac:dyDescent="0.4">
      <c r="A951" t="s">
        <v>118</v>
      </c>
      <c r="B951" t="s">
        <v>118</v>
      </c>
    </row>
    <row r="952" spans="1:2" x14ac:dyDescent="0.4">
      <c r="A952" t="s">
        <v>118</v>
      </c>
      <c r="B952" t="s">
        <v>118</v>
      </c>
    </row>
    <row r="953" spans="1:2" x14ac:dyDescent="0.4">
      <c r="A953" t="s">
        <v>118</v>
      </c>
      <c r="B953" t="s">
        <v>118</v>
      </c>
    </row>
    <row r="954" spans="1:2" x14ac:dyDescent="0.4">
      <c r="A954" t="s">
        <v>118</v>
      </c>
      <c r="B954" t="s">
        <v>118</v>
      </c>
    </row>
    <row r="955" spans="1:2" x14ac:dyDescent="0.4">
      <c r="A955" t="s">
        <v>118</v>
      </c>
      <c r="B955" t="s">
        <v>118</v>
      </c>
    </row>
    <row r="956" spans="1:2" x14ac:dyDescent="0.4">
      <c r="A956" t="s">
        <v>118</v>
      </c>
      <c r="B956" t="s">
        <v>118</v>
      </c>
    </row>
    <row r="957" spans="1:2" x14ac:dyDescent="0.4">
      <c r="A957" t="s">
        <v>118</v>
      </c>
      <c r="B957" t="s">
        <v>118</v>
      </c>
    </row>
    <row r="958" spans="1:2" x14ac:dyDescent="0.4">
      <c r="A958" t="s">
        <v>118</v>
      </c>
      <c r="B958" t="s">
        <v>118</v>
      </c>
    </row>
    <row r="959" spans="1:2" x14ac:dyDescent="0.4">
      <c r="A959" t="s">
        <v>118</v>
      </c>
      <c r="B959" t="s">
        <v>118</v>
      </c>
    </row>
    <row r="960" spans="1:2" x14ac:dyDescent="0.4">
      <c r="A960" t="s">
        <v>118</v>
      </c>
      <c r="B960" t="s">
        <v>118</v>
      </c>
    </row>
    <row r="961" spans="1:2" x14ac:dyDescent="0.4">
      <c r="A961" t="s">
        <v>118</v>
      </c>
      <c r="B961" t="s">
        <v>118</v>
      </c>
    </row>
    <row r="962" spans="1:2" x14ac:dyDescent="0.4">
      <c r="A962" t="s">
        <v>118</v>
      </c>
      <c r="B962" t="s">
        <v>118</v>
      </c>
    </row>
    <row r="963" spans="1:2" x14ac:dyDescent="0.4">
      <c r="A963" t="s">
        <v>118</v>
      </c>
      <c r="B963" t="s">
        <v>118</v>
      </c>
    </row>
    <row r="964" spans="1:2" x14ac:dyDescent="0.4">
      <c r="A964" t="s">
        <v>118</v>
      </c>
      <c r="B964" t="s">
        <v>118</v>
      </c>
    </row>
    <row r="965" spans="1:2" x14ac:dyDescent="0.4">
      <c r="A965" t="s">
        <v>118</v>
      </c>
      <c r="B965" t="s">
        <v>118</v>
      </c>
    </row>
    <row r="966" spans="1:2" x14ac:dyDescent="0.4">
      <c r="A966" t="s">
        <v>118</v>
      </c>
      <c r="B966" t="s">
        <v>118</v>
      </c>
    </row>
    <row r="967" spans="1:2" x14ac:dyDescent="0.4">
      <c r="A967" t="s">
        <v>118</v>
      </c>
      <c r="B967" t="s">
        <v>118</v>
      </c>
    </row>
    <row r="968" spans="1:2" x14ac:dyDescent="0.4">
      <c r="A968" t="s">
        <v>118</v>
      </c>
      <c r="B968" t="s">
        <v>118</v>
      </c>
    </row>
    <row r="969" spans="1:2" x14ac:dyDescent="0.4">
      <c r="A969" t="s">
        <v>118</v>
      </c>
      <c r="B969" t="s">
        <v>118</v>
      </c>
    </row>
    <row r="970" spans="1:2" x14ac:dyDescent="0.4">
      <c r="A970" t="s">
        <v>118</v>
      </c>
      <c r="B970" t="s">
        <v>118</v>
      </c>
    </row>
    <row r="971" spans="1:2" x14ac:dyDescent="0.4">
      <c r="A971" t="s">
        <v>118</v>
      </c>
      <c r="B971" t="s">
        <v>118</v>
      </c>
    </row>
    <row r="972" spans="1:2" x14ac:dyDescent="0.4">
      <c r="A972" t="s">
        <v>118</v>
      </c>
      <c r="B972" t="s">
        <v>118</v>
      </c>
    </row>
    <row r="973" spans="1:2" x14ac:dyDescent="0.4">
      <c r="A973" t="s">
        <v>118</v>
      </c>
      <c r="B973" t="s">
        <v>118</v>
      </c>
    </row>
    <row r="974" spans="1:2" x14ac:dyDescent="0.4">
      <c r="A974" t="s">
        <v>118</v>
      </c>
      <c r="B974" t="s">
        <v>118</v>
      </c>
    </row>
    <row r="975" spans="1:2" x14ac:dyDescent="0.4">
      <c r="A975" t="s">
        <v>118</v>
      </c>
      <c r="B975" t="s">
        <v>118</v>
      </c>
    </row>
    <row r="976" spans="1:2" x14ac:dyDescent="0.4">
      <c r="A976" t="s">
        <v>118</v>
      </c>
      <c r="B976" t="s">
        <v>118</v>
      </c>
    </row>
    <row r="977" spans="1:2" x14ac:dyDescent="0.4">
      <c r="A977" t="s">
        <v>118</v>
      </c>
      <c r="B977" t="s">
        <v>118</v>
      </c>
    </row>
    <row r="978" spans="1:2" x14ac:dyDescent="0.4">
      <c r="A978" t="s">
        <v>118</v>
      </c>
      <c r="B978" t="s">
        <v>118</v>
      </c>
    </row>
    <row r="979" spans="1:2" x14ac:dyDescent="0.4">
      <c r="A979" t="s">
        <v>118</v>
      </c>
      <c r="B979" t="s">
        <v>118</v>
      </c>
    </row>
    <row r="980" spans="1:2" x14ac:dyDescent="0.4">
      <c r="A980" t="s">
        <v>118</v>
      </c>
      <c r="B980" t="s">
        <v>118</v>
      </c>
    </row>
    <row r="981" spans="1:2" x14ac:dyDescent="0.4">
      <c r="A981" t="s">
        <v>118</v>
      </c>
      <c r="B981" t="s">
        <v>118</v>
      </c>
    </row>
    <row r="982" spans="1:2" x14ac:dyDescent="0.4">
      <c r="A982" t="s">
        <v>118</v>
      </c>
      <c r="B982" t="s">
        <v>118</v>
      </c>
    </row>
    <row r="983" spans="1:2" x14ac:dyDescent="0.4">
      <c r="A983" t="s">
        <v>118</v>
      </c>
      <c r="B983" t="s">
        <v>118</v>
      </c>
    </row>
    <row r="984" spans="1:2" x14ac:dyDescent="0.4">
      <c r="A984" t="s">
        <v>118</v>
      </c>
      <c r="B984" t="s">
        <v>118</v>
      </c>
    </row>
    <row r="985" spans="1:2" x14ac:dyDescent="0.4">
      <c r="A985" t="s">
        <v>118</v>
      </c>
      <c r="B985" t="s">
        <v>118</v>
      </c>
    </row>
    <row r="986" spans="1:2" x14ac:dyDescent="0.4">
      <c r="A986" t="s">
        <v>118</v>
      </c>
      <c r="B986" t="s">
        <v>118</v>
      </c>
    </row>
    <row r="987" spans="1:2" x14ac:dyDescent="0.4">
      <c r="A987" t="s">
        <v>118</v>
      </c>
      <c r="B987" t="s">
        <v>118</v>
      </c>
    </row>
    <row r="988" spans="1:2" x14ac:dyDescent="0.4">
      <c r="A988" t="s">
        <v>118</v>
      </c>
      <c r="B988" t="s">
        <v>118</v>
      </c>
    </row>
    <row r="989" spans="1:2" x14ac:dyDescent="0.4">
      <c r="A989" t="s">
        <v>118</v>
      </c>
      <c r="B989" t="s">
        <v>118</v>
      </c>
    </row>
    <row r="990" spans="1:2" x14ac:dyDescent="0.4">
      <c r="A990" t="s">
        <v>118</v>
      </c>
      <c r="B990" t="s">
        <v>118</v>
      </c>
    </row>
    <row r="991" spans="1:2" x14ac:dyDescent="0.4">
      <c r="A991" t="s">
        <v>118</v>
      </c>
      <c r="B991" t="s">
        <v>118</v>
      </c>
    </row>
    <row r="992" spans="1:2" x14ac:dyDescent="0.4">
      <c r="A992" t="s">
        <v>118</v>
      </c>
      <c r="B992" t="s">
        <v>118</v>
      </c>
    </row>
    <row r="993" spans="1:2" x14ac:dyDescent="0.4">
      <c r="A993" t="s">
        <v>118</v>
      </c>
      <c r="B993" t="s">
        <v>118</v>
      </c>
    </row>
    <row r="994" spans="1:2" x14ac:dyDescent="0.4">
      <c r="A994" t="s">
        <v>118</v>
      </c>
      <c r="B994" t="s">
        <v>118</v>
      </c>
    </row>
    <row r="995" spans="1:2" x14ac:dyDescent="0.4">
      <c r="A995" t="s">
        <v>118</v>
      </c>
      <c r="B995" t="s">
        <v>118</v>
      </c>
    </row>
    <row r="996" spans="1:2" x14ac:dyDescent="0.4">
      <c r="A996" t="s">
        <v>118</v>
      </c>
      <c r="B996" t="s">
        <v>118</v>
      </c>
    </row>
    <row r="997" spans="1:2" x14ac:dyDescent="0.4">
      <c r="A997" t="s">
        <v>118</v>
      </c>
      <c r="B997" t="s">
        <v>118</v>
      </c>
    </row>
    <row r="998" spans="1:2" x14ac:dyDescent="0.4">
      <c r="A998" t="s">
        <v>118</v>
      </c>
      <c r="B998" t="s">
        <v>118</v>
      </c>
    </row>
    <row r="999" spans="1:2" x14ac:dyDescent="0.4">
      <c r="A999" t="s">
        <v>118</v>
      </c>
      <c r="B999" t="s">
        <v>118</v>
      </c>
    </row>
    <row r="1000" spans="1:2" x14ac:dyDescent="0.4">
      <c r="A1000" t="s">
        <v>118</v>
      </c>
      <c r="B1000" t="s">
        <v>118</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35DA5-C821-4EB8-ACAD-B036553A4934}">
  <sheetPr codeName="Sheet15"/>
  <dimension ref="A1:W1000"/>
  <sheetViews>
    <sheetView workbookViewId="0">
      <pane ySplit="2" topLeftCell="A30" activePane="bottomLeft" state="frozen"/>
      <selection activeCell="O12" sqref="O12"/>
      <selection pane="bottomLeft" activeCell="A41" sqref="A41"/>
    </sheetView>
  </sheetViews>
  <sheetFormatPr defaultRowHeight="18.75" x14ac:dyDescent="0.4"/>
  <cols>
    <col min="1" max="2" width="56.625" customWidth="1"/>
  </cols>
  <sheetData>
    <row r="1" spans="1:23" x14ac:dyDescent="0.4">
      <c r="A1" s="12" t="s">
        <v>14</v>
      </c>
      <c r="W1" t="e" cm="1">
        <f t="array" ref="W1">LOOKUP(0,0/FIND(振り分け設定!$A$3:$A$33,H1),振り分け設定!$B$3:$B$33)</f>
        <v>#N/A</v>
      </c>
    </row>
    <row r="2" spans="1:23" x14ac:dyDescent="0.4">
      <c r="A2" s="4" t="s">
        <v>109</v>
      </c>
      <c r="B2" s="4" t="s">
        <v>112</v>
      </c>
      <c r="W2" t="e" cm="1">
        <f t="array" ref="W2">LOOKUP(0,0/FIND(振り分け設定!$A$3:$A$33,H2),振り分け設定!$B$3:$B$33)</f>
        <v>#N/A</v>
      </c>
    </row>
    <row r="3" spans="1:23" x14ac:dyDescent="0.4">
      <c r="A3" s="4" t="s">
        <v>113</v>
      </c>
      <c r="B3" s="4" t="s">
        <v>89</v>
      </c>
      <c r="W3" t="e" cm="1">
        <f t="array" ref="W3">LOOKUP(0,0/FIND(振り分け設定!$A$3:$A$33,H3),振り分け設定!$B$3:$B$33)</f>
        <v>#N/A</v>
      </c>
    </row>
    <row r="4" spans="1:23" x14ac:dyDescent="0.4">
      <c r="A4" s="4" t="s">
        <v>114</v>
      </c>
      <c r="B4" s="4" t="s">
        <v>89</v>
      </c>
      <c r="W4" t="e" cm="1">
        <f t="array" ref="W4">LOOKUP(0,0/FIND(振り分け設定!$A$3:$A$33,H4),振り分け設定!$B$3:$B$33)</f>
        <v>#N/A</v>
      </c>
    </row>
    <row r="5" spans="1:23" x14ac:dyDescent="0.4">
      <c r="A5" s="4" t="s">
        <v>115</v>
      </c>
      <c r="B5" s="4" t="s">
        <v>89</v>
      </c>
      <c r="W5" t="e" cm="1">
        <f t="array" ref="W5">LOOKUP(0,0/FIND(振り分け設定!$A$3:$A$33,H5),振り分け設定!$B$3:$B$33)</f>
        <v>#N/A</v>
      </c>
    </row>
    <row r="6" spans="1:23" x14ac:dyDescent="0.4">
      <c r="A6" s="4" t="s">
        <v>116</v>
      </c>
      <c r="B6" s="4" t="s">
        <v>89</v>
      </c>
      <c r="W6" t="e" cm="1">
        <f t="array" ref="W6">LOOKUP(0,0/FIND(振り分け設定!$A$3:$A$33,H6),振り分け設定!$B$3:$B$33)</f>
        <v>#N/A</v>
      </c>
    </row>
    <row r="7" spans="1:23" x14ac:dyDescent="0.4">
      <c r="A7" s="4" t="s">
        <v>17</v>
      </c>
      <c r="B7" s="4" t="s">
        <v>90</v>
      </c>
      <c r="W7" t="e" cm="1">
        <f t="array" ref="W7">LOOKUP(0,0/FIND(振り分け設定!$A$3:$A$33,H7),振り分け設定!$B$3:$B$33)</f>
        <v>#N/A</v>
      </c>
    </row>
    <row r="8" spans="1:23" x14ac:dyDescent="0.4">
      <c r="A8" s="4" t="s">
        <v>110</v>
      </c>
      <c r="B8" s="4" t="s">
        <v>111</v>
      </c>
      <c r="W8" t="e" cm="1">
        <f t="array" ref="W8">LOOKUP(0,0/FIND(振り分け設定!$A$3:$A$33,H8),振り分け設定!$B$3:$B$33)</f>
        <v>#N/A</v>
      </c>
    </row>
    <row r="9" spans="1:23" x14ac:dyDescent="0.4">
      <c r="A9" s="4" t="s">
        <v>91</v>
      </c>
      <c r="B9" s="4" t="s">
        <v>95</v>
      </c>
      <c r="W9" t="e" cm="1">
        <f t="array" ref="W9">LOOKUP(0,0/FIND(振り分け設定!$A$3:$A$33,H9),振り分け設定!$B$3:$B$33)</f>
        <v>#N/A</v>
      </c>
    </row>
    <row r="10" spans="1:23" x14ac:dyDescent="0.4">
      <c r="A10" s="4" t="s">
        <v>92</v>
      </c>
      <c r="B10" s="4" t="s">
        <v>95</v>
      </c>
      <c r="W10" t="e" cm="1">
        <f t="array" ref="W10">LOOKUP(0,0/FIND(振り分け設定!$A$3:$A$33,H10),振り分け設定!$B$3:$B$33)</f>
        <v>#N/A</v>
      </c>
    </row>
    <row r="11" spans="1:23" x14ac:dyDescent="0.4">
      <c r="A11" s="4" t="s">
        <v>93</v>
      </c>
      <c r="B11" s="4" t="s">
        <v>95</v>
      </c>
      <c r="W11" t="e" cm="1">
        <f t="array" ref="W11">LOOKUP(0,0/FIND(振り分け設定!$A$3:$A$33,H11),振り分け設定!$B$3:$B$33)</f>
        <v>#N/A</v>
      </c>
    </row>
    <row r="12" spans="1:23" x14ac:dyDescent="0.4">
      <c r="A12" s="4" t="s">
        <v>19</v>
      </c>
      <c r="B12" s="4" t="s">
        <v>95</v>
      </c>
      <c r="W12" t="e" cm="1">
        <f t="array" ref="W12">LOOKUP(0,0/FIND(振り分け設定!$A$3:$A$33,H12),振り分け設定!$B$3:$B$33)</f>
        <v>#N/A</v>
      </c>
    </row>
    <row r="13" spans="1:23" x14ac:dyDescent="0.4">
      <c r="A13" s="4" t="s">
        <v>23</v>
      </c>
      <c r="B13" s="4" t="s">
        <v>95</v>
      </c>
      <c r="W13" t="e" cm="1">
        <f t="array" ref="W13">LOOKUP(0,0/FIND(振り分け設定!$A$3:$A$33,H13),振り分け設定!$B$3:$B$33)</f>
        <v>#N/A</v>
      </c>
    </row>
    <row r="14" spans="1:23" x14ac:dyDescent="0.4">
      <c r="A14" s="4" t="s">
        <v>94</v>
      </c>
      <c r="B14" s="4" t="s">
        <v>95</v>
      </c>
      <c r="W14" t="e" cm="1">
        <f t="array" ref="W14">LOOKUP(0,0/FIND(振り分け設定!$A$3:$A$33,H14),振り分け設定!$B$3:$B$33)</f>
        <v>#N/A</v>
      </c>
    </row>
    <row r="15" spans="1:23" x14ac:dyDescent="0.4">
      <c r="A15" s="4" t="s">
        <v>22</v>
      </c>
      <c r="B15" s="4" t="s">
        <v>101</v>
      </c>
      <c r="W15" t="e" cm="1">
        <f t="array" ref="W15">LOOKUP(0,0/FIND(振り分け設定!$A$3:$A$33,H15),振り分け設定!$B$3:$B$33)</f>
        <v>#N/A</v>
      </c>
    </row>
    <row r="16" spans="1:23" x14ac:dyDescent="0.4">
      <c r="A16" s="4" t="s">
        <v>21</v>
      </c>
      <c r="B16" s="4" t="s">
        <v>101</v>
      </c>
      <c r="W16" t="e" cm="1">
        <f t="array" ref="W16">LOOKUP(0,0/FIND(振り分け設定!$A$3:$A$33,H16),振り分け設定!$B$3:$B$33)</f>
        <v>#N/A</v>
      </c>
    </row>
    <row r="17" spans="1:23" x14ac:dyDescent="0.4">
      <c r="A17" s="4" t="s">
        <v>96</v>
      </c>
      <c r="B17" s="4" t="s">
        <v>101</v>
      </c>
      <c r="W17" t="e" cm="1">
        <f t="array" ref="W17">LOOKUP(0,0/FIND(振り分け設定!$A$3:$A$33,H17),振り分け設定!$B$3:$B$33)</f>
        <v>#N/A</v>
      </c>
    </row>
    <row r="18" spans="1:23" x14ac:dyDescent="0.4">
      <c r="A18" s="4" t="s">
        <v>97</v>
      </c>
      <c r="B18" s="4" t="s">
        <v>101</v>
      </c>
      <c r="W18" t="e" cm="1">
        <f t="array" ref="W18">LOOKUP(0,0/FIND(振り分け設定!$A$3:$A$33,H18),振り分け設定!$B$3:$B$33)</f>
        <v>#N/A</v>
      </c>
    </row>
    <row r="19" spans="1:23" x14ac:dyDescent="0.4">
      <c r="A19" s="4" t="s">
        <v>98</v>
      </c>
      <c r="B19" s="4" t="s">
        <v>101</v>
      </c>
      <c r="W19" t="e" cm="1">
        <f t="array" ref="W19">LOOKUP(0,0/FIND(振り分け設定!$A$3:$A$33,H19),振り分け設定!$B$3:$B$33)</f>
        <v>#N/A</v>
      </c>
    </row>
    <row r="20" spans="1:23" x14ac:dyDescent="0.4">
      <c r="A20" s="4" t="s">
        <v>24</v>
      </c>
      <c r="B20" s="4" t="s">
        <v>101</v>
      </c>
      <c r="W20" t="e" cm="1">
        <f t="array" ref="W20">LOOKUP(0,0/FIND(振り分け設定!$A$3:$A$33,H20),振り分け設定!$B$3:$B$33)</f>
        <v>#N/A</v>
      </c>
    </row>
    <row r="21" spans="1:23" x14ac:dyDescent="0.4">
      <c r="A21" s="4" t="s">
        <v>18</v>
      </c>
      <c r="B21" s="4" t="s">
        <v>101</v>
      </c>
      <c r="W21" t="e" cm="1">
        <f t="array" ref="W21">LOOKUP(0,0/FIND(振り分け設定!$A$3:$A$33,H21),振り分け設定!$B$3:$B$33)</f>
        <v>#N/A</v>
      </c>
    </row>
    <row r="22" spans="1:23" x14ac:dyDescent="0.4">
      <c r="A22" s="4" t="s">
        <v>99</v>
      </c>
      <c r="B22" s="4" t="s">
        <v>101</v>
      </c>
      <c r="W22" t="e" cm="1">
        <f t="array" ref="W22">LOOKUP(0,0/FIND(振り分け設定!$A$3:$A$33,H22),振り分け設定!$B$3:$B$33)</f>
        <v>#N/A</v>
      </c>
    </row>
    <row r="23" spans="1:23" x14ac:dyDescent="0.4">
      <c r="A23" s="4" t="s">
        <v>20</v>
      </c>
      <c r="B23" s="4" t="s">
        <v>101</v>
      </c>
      <c r="W23" t="e" cm="1">
        <f t="array" ref="W23">LOOKUP(0,0/FIND(振り分け設定!$A$3:$A$33,H23),振り分け設定!$B$3:$B$33)</f>
        <v>#N/A</v>
      </c>
    </row>
    <row r="24" spans="1:23" x14ac:dyDescent="0.4">
      <c r="A24" s="4" t="s">
        <v>100</v>
      </c>
      <c r="B24" s="4" t="s">
        <v>101</v>
      </c>
      <c r="W24" t="e" cm="1">
        <f t="array" ref="W24">LOOKUP(0,0/FIND(振り分け設定!$A$3:$A$33,H24),振り分け設定!$B$3:$B$33)</f>
        <v>#N/A</v>
      </c>
    </row>
    <row r="25" spans="1:23" x14ac:dyDescent="0.4">
      <c r="A25" s="4" t="s">
        <v>16</v>
      </c>
      <c r="B25" s="4" t="s">
        <v>101</v>
      </c>
      <c r="W25" t="e" cm="1">
        <f t="array" ref="W25">LOOKUP(0,0/FIND(振り分け設定!$A$3:$A$33,H25),振り分け設定!$B$3:$B$33)</f>
        <v>#N/A</v>
      </c>
    </row>
    <row r="26" spans="1:23" x14ac:dyDescent="0.4">
      <c r="A26" s="4" t="s">
        <v>102</v>
      </c>
      <c r="B26" s="4" t="s">
        <v>108</v>
      </c>
      <c r="W26" t="e" cm="1">
        <f t="array" ref="W26">LOOKUP(0,0/FIND(振り分け設定!$A$3:$A$33,H26),振り分け設定!$B$3:$B$33)</f>
        <v>#N/A</v>
      </c>
    </row>
    <row r="27" spans="1:23" x14ac:dyDescent="0.4">
      <c r="A27" s="4" t="s">
        <v>103</v>
      </c>
      <c r="B27" s="4" t="s">
        <v>108</v>
      </c>
      <c r="W27" t="e" cm="1">
        <f t="array" ref="W27">LOOKUP(0,0/FIND(振り分け設定!$A$3:$A$33,H27),振り分け設定!$B$3:$B$33)</f>
        <v>#N/A</v>
      </c>
    </row>
    <row r="28" spans="1:23" x14ac:dyDescent="0.4">
      <c r="A28" s="4" t="s">
        <v>104</v>
      </c>
      <c r="B28" s="4" t="s">
        <v>108</v>
      </c>
      <c r="W28" t="e" cm="1">
        <f t="array" ref="W28">LOOKUP(0,0/FIND(振り分け設定!$A$3:$A$33,H28),振り分け設定!$B$3:$B$33)</f>
        <v>#N/A</v>
      </c>
    </row>
    <row r="29" spans="1:23" x14ac:dyDescent="0.4">
      <c r="A29" s="4" t="s">
        <v>105</v>
      </c>
      <c r="B29" s="4" t="s">
        <v>108</v>
      </c>
      <c r="W29" t="e" cm="1">
        <f t="array" ref="W29">LOOKUP(0,0/FIND(振り分け設定!$A$3:$A$33,H29),振り分け設定!$B$3:$B$33)</f>
        <v>#N/A</v>
      </c>
    </row>
    <row r="30" spans="1:23" x14ac:dyDescent="0.4">
      <c r="A30" s="4" t="s">
        <v>106</v>
      </c>
      <c r="B30" s="4" t="s">
        <v>108</v>
      </c>
      <c r="W30" t="e" cm="1">
        <f t="array" ref="W30">LOOKUP(0,0/FIND(振り分け設定!$A$3:$A$33,H30),振り分け設定!$B$3:$B$33)</f>
        <v>#N/A</v>
      </c>
    </row>
    <row r="31" spans="1:23" x14ac:dyDescent="0.4">
      <c r="A31" s="4" t="s">
        <v>107</v>
      </c>
      <c r="B31" s="4" t="s">
        <v>108</v>
      </c>
      <c r="W31" t="e" cm="1">
        <f t="array" ref="W31">LOOKUP(0,0/FIND(振り分け設定!$A$3:$A$33,H31),振り分け設定!$B$3:$B$33)</f>
        <v>#N/A</v>
      </c>
    </row>
    <row r="32" spans="1:23" x14ac:dyDescent="0.4">
      <c r="A32" s="4" t="s">
        <v>117</v>
      </c>
      <c r="B32" s="4" t="s">
        <v>108</v>
      </c>
      <c r="W32" t="e" cm="1">
        <f t="array" ref="W32">LOOKUP(0,0/FIND(振り分け設定!$A$3:$A$33,H32),振り分け設定!$B$3:$B$33)</f>
        <v>#N/A</v>
      </c>
    </row>
    <row r="33" spans="1:23" x14ac:dyDescent="0.4">
      <c r="A33" s="4" t="s">
        <v>121</v>
      </c>
      <c r="B33" s="4" t="s">
        <v>108</v>
      </c>
      <c r="W33" t="e" cm="1">
        <f t="array" ref="W33">LOOKUP(0,0/FIND(振り分け設定!$A$3:$A$33,H33),振り分け設定!$B$3:$B$33)</f>
        <v>#N/A</v>
      </c>
    </row>
    <row r="34" spans="1:23" x14ac:dyDescent="0.4">
      <c r="A34" s="4" t="s">
        <v>119</v>
      </c>
      <c r="B34" s="4" t="s">
        <v>95</v>
      </c>
      <c r="W34" t="e" cm="1">
        <f t="array" ref="W34">LOOKUP(0,0/FIND(振り分け設定!$A$3:$A$33,H34),振り分け設定!$B$3:$B$33)</f>
        <v>#N/A</v>
      </c>
    </row>
    <row r="35" spans="1:23" x14ac:dyDescent="0.4">
      <c r="A35" s="4" t="s">
        <v>120</v>
      </c>
      <c r="B35" s="4" t="s">
        <v>95</v>
      </c>
      <c r="W35" t="e" cm="1">
        <f t="array" ref="W35">LOOKUP(0,0/FIND(振り分け設定!$A$3:$A$33,H35),振り分け設定!$B$3:$B$33)</f>
        <v>#N/A</v>
      </c>
    </row>
    <row r="36" spans="1:23" x14ac:dyDescent="0.4">
      <c r="A36" s="4" t="s">
        <v>122</v>
      </c>
      <c r="B36" s="4" t="s">
        <v>108</v>
      </c>
      <c r="W36" t="e" cm="1">
        <f t="array" ref="W36">LOOKUP(0,0/FIND(振り分け設定!$A$3:$A$33,H36),振り分け設定!$B$3:$B$33)</f>
        <v>#N/A</v>
      </c>
    </row>
    <row r="37" spans="1:23" x14ac:dyDescent="0.4">
      <c r="A37" s="4" t="s">
        <v>123</v>
      </c>
      <c r="B37" s="4" t="s">
        <v>95</v>
      </c>
      <c r="W37" t="e" cm="1">
        <f t="array" ref="W37">LOOKUP(0,0/FIND(振り分け設定!$A$3:$A$33,H37),振り分け設定!$B$3:$B$33)</f>
        <v>#N/A</v>
      </c>
    </row>
    <row r="38" spans="1:23" x14ac:dyDescent="0.4">
      <c r="A38" s="4" t="s">
        <v>125</v>
      </c>
      <c r="B38" s="4" t="s">
        <v>124</v>
      </c>
      <c r="W38" t="e" cm="1">
        <f t="array" ref="W38">LOOKUP(0,0/FIND(振り分け設定!$A$3:$A$33,H38),振り分け設定!$B$3:$B$33)</f>
        <v>#N/A</v>
      </c>
    </row>
    <row r="39" spans="1:23" x14ac:dyDescent="0.4">
      <c r="A39" s="4" t="s">
        <v>126</v>
      </c>
      <c r="B39" s="4" t="s">
        <v>124</v>
      </c>
      <c r="W39" t="e" cm="1">
        <f t="array" ref="W39">LOOKUP(0,0/FIND(振り分け設定!$A$3:$A$33,H39),振り分け設定!$B$3:$B$33)</f>
        <v>#N/A</v>
      </c>
    </row>
    <row r="40" spans="1:23" x14ac:dyDescent="0.4">
      <c r="A40" s="4" t="s">
        <v>118</v>
      </c>
      <c r="B40" s="4" t="s">
        <v>118</v>
      </c>
      <c r="W40" t="e" cm="1">
        <f t="array" ref="W40">LOOKUP(0,0/FIND(振り分け設定!$A$3:$A$33,H40),振り分け設定!$B$3:$B$33)</f>
        <v>#N/A</v>
      </c>
    </row>
    <row r="41" spans="1:23" x14ac:dyDescent="0.4">
      <c r="A41" s="4" t="s">
        <v>118</v>
      </c>
      <c r="B41" s="4" t="s">
        <v>118</v>
      </c>
      <c r="W41" t="e" cm="1">
        <f t="array" ref="W41">LOOKUP(0,0/FIND(振り分け設定!$A$3:$A$33,H41),振り分け設定!$B$3:$B$33)</f>
        <v>#N/A</v>
      </c>
    </row>
    <row r="42" spans="1:23" x14ac:dyDescent="0.4">
      <c r="A42" s="4" t="s">
        <v>118</v>
      </c>
      <c r="B42" s="4" t="s">
        <v>118</v>
      </c>
      <c r="W42" t="e" cm="1">
        <f t="array" ref="W42">LOOKUP(0,0/FIND(振り分け設定!$A$3:$A$33,H42),振り分け設定!$B$3:$B$33)</f>
        <v>#N/A</v>
      </c>
    </row>
    <row r="43" spans="1:23" x14ac:dyDescent="0.4">
      <c r="A43" s="4" t="s">
        <v>118</v>
      </c>
      <c r="B43" s="4" t="s">
        <v>118</v>
      </c>
      <c r="W43" t="e" cm="1">
        <f t="array" ref="W43">LOOKUP(0,0/FIND(振り分け設定!$A$3:$A$33,H43),振り分け設定!$B$3:$B$33)</f>
        <v>#N/A</v>
      </c>
    </row>
    <row r="44" spans="1:23" x14ac:dyDescent="0.4">
      <c r="A44" s="4" t="s">
        <v>118</v>
      </c>
      <c r="B44" s="4" t="s">
        <v>118</v>
      </c>
      <c r="W44" t="e" cm="1">
        <f t="array" ref="W44">LOOKUP(0,0/FIND(振り分け設定!$A$3:$A$33,H44),振り分け設定!$B$3:$B$33)</f>
        <v>#N/A</v>
      </c>
    </row>
    <row r="45" spans="1:23" x14ac:dyDescent="0.4">
      <c r="A45" s="4" t="s">
        <v>118</v>
      </c>
      <c r="B45" s="4" t="s">
        <v>118</v>
      </c>
      <c r="W45" t="e" cm="1">
        <f t="array" ref="W45">LOOKUP(0,0/FIND(振り分け設定!$A$3:$A$33,H45),振り分け設定!$B$3:$B$33)</f>
        <v>#N/A</v>
      </c>
    </row>
    <row r="46" spans="1:23" x14ac:dyDescent="0.4">
      <c r="A46" s="4" t="s">
        <v>118</v>
      </c>
      <c r="B46" s="4" t="s">
        <v>118</v>
      </c>
      <c r="W46" t="e" cm="1">
        <f t="array" ref="W46">LOOKUP(0,0/FIND(振り分け設定!$A$3:$A$33,H46),振り分け設定!$B$3:$B$33)</f>
        <v>#N/A</v>
      </c>
    </row>
    <row r="47" spans="1:23" x14ac:dyDescent="0.4">
      <c r="A47" s="4" t="s">
        <v>118</v>
      </c>
      <c r="B47" s="4" t="s">
        <v>118</v>
      </c>
      <c r="W47" t="e" cm="1">
        <f t="array" ref="W47">LOOKUP(0,0/FIND(振り分け設定!$A$3:$A$33,H47),振り分け設定!$B$3:$B$33)</f>
        <v>#N/A</v>
      </c>
    </row>
    <row r="48" spans="1:23" x14ac:dyDescent="0.4">
      <c r="A48" s="4" t="s">
        <v>118</v>
      </c>
      <c r="B48" s="4" t="s">
        <v>118</v>
      </c>
      <c r="W48" t="e" cm="1">
        <f t="array" ref="W48">LOOKUP(0,0/FIND(振り分け設定!$A$3:$A$33,H48),振り分け設定!$B$3:$B$33)</f>
        <v>#N/A</v>
      </c>
    </row>
    <row r="49" spans="1:23" x14ac:dyDescent="0.4">
      <c r="A49" s="4" t="s">
        <v>118</v>
      </c>
      <c r="B49" s="4" t="s">
        <v>118</v>
      </c>
      <c r="W49" t="e" cm="1">
        <f t="array" ref="W49">LOOKUP(0,0/FIND(振り分け設定!$A$3:$A$33,H49),振り分け設定!$B$3:$B$33)</f>
        <v>#N/A</v>
      </c>
    </row>
    <row r="50" spans="1:23" x14ac:dyDescent="0.4">
      <c r="A50" s="4" t="s">
        <v>118</v>
      </c>
      <c r="B50" s="4" t="s">
        <v>118</v>
      </c>
      <c r="W50" t="e" cm="1">
        <f t="array" ref="W50">LOOKUP(0,0/FIND(振り分け設定!$A$3:$A$33,H50),振り分け設定!$B$3:$B$33)</f>
        <v>#N/A</v>
      </c>
    </row>
    <row r="51" spans="1:23" x14ac:dyDescent="0.4">
      <c r="A51" s="4" t="s">
        <v>118</v>
      </c>
      <c r="B51" s="4" t="s">
        <v>118</v>
      </c>
      <c r="W51" t="e" cm="1">
        <f t="array" ref="W51">LOOKUP(0,0/FIND(振り分け設定!$A$3:$A$33,H51),振り分け設定!$B$3:$B$33)</f>
        <v>#N/A</v>
      </c>
    </row>
    <row r="52" spans="1:23" x14ac:dyDescent="0.4">
      <c r="A52" s="4" t="s">
        <v>118</v>
      </c>
      <c r="B52" s="4" t="s">
        <v>118</v>
      </c>
      <c r="W52" t="e" cm="1">
        <f t="array" ref="W52">LOOKUP(0,0/FIND(振り分け設定!$A$3:$A$33,H52),振り分け設定!$B$3:$B$33)</f>
        <v>#N/A</v>
      </c>
    </row>
    <row r="53" spans="1:23" x14ac:dyDescent="0.4">
      <c r="A53" s="4" t="s">
        <v>118</v>
      </c>
      <c r="B53" s="4" t="s">
        <v>118</v>
      </c>
      <c r="W53" t="e" cm="1">
        <f t="array" ref="W53">LOOKUP(0,0/FIND(振り分け設定!$A$3:$A$33,H53),振り分け設定!$B$3:$B$33)</f>
        <v>#N/A</v>
      </c>
    </row>
    <row r="54" spans="1:23" x14ac:dyDescent="0.4">
      <c r="A54" s="4" t="s">
        <v>118</v>
      </c>
      <c r="B54" s="4" t="s">
        <v>118</v>
      </c>
      <c r="W54" t="e" cm="1">
        <f t="array" ref="W54">LOOKUP(0,0/FIND(振り分け設定!$A$3:$A$33,H54),振り分け設定!$B$3:$B$33)</f>
        <v>#N/A</v>
      </c>
    </row>
    <row r="55" spans="1:23" x14ac:dyDescent="0.4">
      <c r="A55" s="4" t="s">
        <v>118</v>
      </c>
      <c r="B55" s="4" t="s">
        <v>118</v>
      </c>
      <c r="W55" t="e" cm="1">
        <f t="array" ref="W55">LOOKUP(0,0/FIND(振り分け設定!$A$3:$A$33,H55),振り分け設定!$B$3:$B$33)</f>
        <v>#N/A</v>
      </c>
    </row>
    <row r="56" spans="1:23" x14ac:dyDescent="0.4">
      <c r="A56" s="4" t="s">
        <v>118</v>
      </c>
      <c r="B56" s="4" t="s">
        <v>118</v>
      </c>
      <c r="W56" t="e" cm="1">
        <f t="array" ref="W56">LOOKUP(0,0/FIND(振り分け設定!$A$3:$A$33,H56),振り分け設定!$B$3:$B$33)</f>
        <v>#N/A</v>
      </c>
    </row>
    <row r="57" spans="1:23" x14ac:dyDescent="0.4">
      <c r="A57" s="4" t="s">
        <v>118</v>
      </c>
      <c r="B57" s="4" t="s">
        <v>118</v>
      </c>
      <c r="W57" t="e" cm="1">
        <f t="array" ref="W57">LOOKUP(0,0/FIND(振り分け設定!$A$3:$A$33,H57),振り分け設定!$B$3:$B$33)</f>
        <v>#N/A</v>
      </c>
    </row>
    <row r="58" spans="1:23" x14ac:dyDescent="0.4">
      <c r="A58" s="4" t="s">
        <v>118</v>
      </c>
      <c r="B58" s="4" t="s">
        <v>118</v>
      </c>
      <c r="W58" t="e" cm="1">
        <f t="array" ref="W58">LOOKUP(0,0/FIND(振り分け設定!$A$3:$A$33,H58),振り分け設定!$B$3:$B$33)</f>
        <v>#N/A</v>
      </c>
    </row>
    <row r="59" spans="1:23" x14ac:dyDescent="0.4">
      <c r="A59" s="4" t="s">
        <v>118</v>
      </c>
      <c r="B59" s="4" t="s">
        <v>118</v>
      </c>
      <c r="W59" t="e" cm="1">
        <f t="array" ref="W59">LOOKUP(0,0/FIND(振り分け設定!$A$3:$A$33,H59),振り分け設定!$B$3:$B$33)</f>
        <v>#N/A</v>
      </c>
    </row>
    <row r="60" spans="1:23" x14ac:dyDescent="0.4">
      <c r="A60" s="4" t="s">
        <v>118</v>
      </c>
      <c r="B60" s="4" t="s">
        <v>118</v>
      </c>
      <c r="W60" t="e" cm="1">
        <f t="array" ref="W60">LOOKUP(0,0/FIND(振り分け設定!$A$3:$A$33,H60),振り分け設定!$B$3:$B$33)</f>
        <v>#N/A</v>
      </c>
    </row>
    <row r="61" spans="1:23" x14ac:dyDescent="0.4">
      <c r="A61" s="4" t="s">
        <v>118</v>
      </c>
      <c r="B61" s="4" t="s">
        <v>118</v>
      </c>
      <c r="W61" t="e" cm="1">
        <f t="array" ref="W61">LOOKUP(0,0/FIND(振り分け設定!$A$3:$A$33,H61),振り分け設定!$B$3:$B$33)</f>
        <v>#N/A</v>
      </c>
    </row>
    <row r="62" spans="1:23" x14ac:dyDescent="0.4">
      <c r="A62" s="4" t="s">
        <v>118</v>
      </c>
      <c r="B62" s="4" t="s">
        <v>118</v>
      </c>
      <c r="W62" t="e" cm="1">
        <f t="array" ref="W62">LOOKUP(0,0/FIND(振り分け設定!$A$3:$A$33,H62),振り分け設定!$B$3:$B$33)</f>
        <v>#N/A</v>
      </c>
    </row>
    <row r="63" spans="1:23" x14ac:dyDescent="0.4">
      <c r="A63" s="4" t="s">
        <v>118</v>
      </c>
      <c r="B63" s="4" t="s">
        <v>118</v>
      </c>
      <c r="W63" t="e" cm="1">
        <f t="array" ref="W63">LOOKUP(0,0/FIND(振り分け設定!$A$3:$A$33,H63),振り分け設定!$B$3:$B$33)</f>
        <v>#N/A</v>
      </c>
    </row>
    <row r="64" spans="1:23" x14ac:dyDescent="0.4">
      <c r="A64" s="4" t="s">
        <v>118</v>
      </c>
      <c r="B64" s="4" t="s">
        <v>118</v>
      </c>
      <c r="W64" t="e" cm="1">
        <f t="array" ref="W64">LOOKUP(0,0/FIND(振り分け設定!$A$3:$A$33,H64),振り分け設定!$B$3:$B$33)</f>
        <v>#N/A</v>
      </c>
    </row>
    <row r="65" spans="1:23" x14ac:dyDescent="0.4">
      <c r="A65" s="4" t="s">
        <v>118</v>
      </c>
      <c r="B65" s="4" t="s">
        <v>118</v>
      </c>
      <c r="W65" t="e" cm="1">
        <f t="array" ref="W65">LOOKUP(0,0/FIND(振り分け設定!$A$3:$A$33,H65),振り分け設定!$B$3:$B$33)</f>
        <v>#N/A</v>
      </c>
    </row>
    <row r="66" spans="1:23" x14ac:dyDescent="0.4">
      <c r="A66" s="4" t="s">
        <v>118</v>
      </c>
      <c r="B66" s="4" t="s">
        <v>118</v>
      </c>
      <c r="W66" t="e" cm="1">
        <f t="array" ref="W66">LOOKUP(0,0/FIND(振り分け設定!$A$3:$A$33,H66),振り分け設定!$B$3:$B$33)</f>
        <v>#N/A</v>
      </c>
    </row>
    <row r="67" spans="1:23" x14ac:dyDescent="0.4">
      <c r="A67" s="4" t="s">
        <v>118</v>
      </c>
      <c r="B67" s="4" t="s">
        <v>118</v>
      </c>
      <c r="W67" t="e" cm="1">
        <f t="array" ref="W67">LOOKUP(0,0/FIND(振り分け設定!$A$3:$A$33,H67),振り分け設定!$B$3:$B$33)</f>
        <v>#N/A</v>
      </c>
    </row>
    <row r="68" spans="1:23" x14ac:dyDescent="0.4">
      <c r="A68" s="4" t="s">
        <v>118</v>
      </c>
      <c r="B68" s="4" t="s">
        <v>118</v>
      </c>
      <c r="W68" t="e" cm="1">
        <f t="array" ref="W68">LOOKUP(0,0/FIND(振り分け設定!$A$3:$A$33,H68),振り分け設定!$B$3:$B$33)</f>
        <v>#N/A</v>
      </c>
    </row>
    <row r="69" spans="1:23" x14ac:dyDescent="0.4">
      <c r="A69" s="4" t="s">
        <v>118</v>
      </c>
      <c r="B69" s="4" t="s">
        <v>118</v>
      </c>
      <c r="W69" t="e" cm="1">
        <f t="array" ref="W69">LOOKUP(0,0/FIND(振り分け設定!$A$3:$A$33,H69),振り分け設定!$B$3:$B$33)</f>
        <v>#N/A</v>
      </c>
    </row>
    <row r="70" spans="1:23" x14ac:dyDescent="0.4">
      <c r="A70" s="4" t="s">
        <v>118</v>
      </c>
      <c r="B70" s="4" t="s">
        <v>118</v>
      </c>
      <c r="W70" t="e" cm="1">
        <f t="array" ref="W70">LOOKUP(0,0/FIND(振り分け設定!$A$3:$A$33,H70),振り分け設定!$B$3:$B$33)</f>
        <v>#N/A</v>
      </c>
    </row>
    <row r="71" spans="1:23" x14ac:dyDescent="0.4">
      <c r="A71" s="4" t="s">
        <v>118</v>
      </c>
      <c r="B71" s="4" t="s">
        <v>118</v>
      </c>
      <c r="W71" t="e" cm="1">
        <f t="array" ref="W71">LOOKUP(0,0/FIND(振り分け設定!$A$3:$A$33,H71),振り分け設定!$B$3:$B$33)</f>
        <v>#N/A</v>
      </c>
    </row>
    <row r="72" spans="1:23" x14ac:dyDescent="0.4">
      <c r="A72" s="4" t="s">
        <v>118</v>
      </c>
      <c r="B72" s="4" t="s">
        <v>118</v>
      </c>
      <c r="W72" t="e" cm="1">
        <f t="array" ref="W72">LOOKUP(0,0/FIND(振り分け設定!$A$3:$A$33,H72),振り分け設定!$B$3:$B$33)</f>
        <v>#N/A</v>
      </c>
    </row>
    <row r="73" spans="1:23" x14ac:dyDescent="0.4">
      <c r="A73" s="4" t="s">
        <v>118</v>
      </c>
      <c r="B73" s="4" t="s">
        <v>118</v>
      </c>
      <c r="W73" t="e" cm="1">
        <f t="array" ref="W73">LOOKUP(0,0/FIND(振り分け設定!$A$3:$A$33,H73),振り分け設定!$B$3:$B$33)</f>
        <v>#N/A</v>
      </c>
    </row>
    <row r="74" spans="1:23" x14ac:dyDescent="0.4">
      <c r="A74" s="4" t="s">
        <v>118</v>
      </c>
      <c r="B74" s="4" t="s">
        <v>118</v>
      </c>
      <c r="W74" t="e" cm="1">
        <f t="array" ref="W74">LOOKUP(0,0/FIND(振り分け設定!$A$3:$A$33,H74),振り分け設定!$B$3:$B$33)</f>
        <v>#N/A</v>
      </c>
    </row>
    <row r="75" spans="1:23" x14ac:dyDescent="0.4">
      <c r="A75" s="4" t="s">
        <v>118</v>
      </c>
      <c r="B75" s="4" t="s">
        <v>118</v>
      </c>
      <c r="W75" t="e" cm="1">
        <f t="array" ref="W75">LOOKUP(0,0/FIND(振り分け設定!$A$3:$A$33,H75),振り分け設定!$B$3:$B$33)</f>
        <v>#N/A</v>
      </c>
    </row>
    <row r="76" spans="1:23" x14ac:dyDescent="0.4">
      <c r="A76" s="4" t="s">
        <v>118</v>
      </c>
      <c r="B76" s="4" t="s">
        <v>118</v>
      </c>
      <c r="W76" t="e" cm="1">
        <f t="array" ref="W76">LOOKUP(0,0/FIND(振り分け設定!$A$3:$A$33,H76),振り分け設定!$B$3:$B$33)</f>
        <v>#N/A</v>
      </c>
    </row>
    <row r="77" spans="1:23" x14ac:dyDescent="0.4">
      <c r="A77" s="4" t="s">
        <v>118</v>
      </c>
      <c r="B77" s="4" t="s">
        <v>118</v>
      </c>
      <c r="W77" t="e" cm="1">
        <f t="array" ref="W77">LOOKUP(0,0/FIND(振り分け設定!$A$3:$A$33,H77),振り分け設定!$B$3:$B$33)</f>
        <v>#N/A</v>
      </c>
    </row>
    <row r="78" spans="1:23" x14ac:dyDescent="0.4">
      <c r="A78" s="4" t="s">
        <v>118</v>
      </c>
      <c r="B78" s="4" t="s">
        <v>118</v>
      </c>
      <c r="W78" t="e" cm="1">
        <f t="array" ref="W78">LOOKUP(0,0/FIND(振り分け設定!$A$3:$A$33,H78),振り分け設定!$B$3:$B$33)</f>
        <v>#N/A</v>
      </c>
    </row>
    <row r="79" spans="1:23" x14ac:dyDescent="0.4">
      <c r="A79" s="4" t="s">
        <v>118</v>
      </c>
      <c r="B79" s="4" t="s">
        <v>118</v>
      </c>
      <c r="W79" t="e" cm="1">
        <f t="array" ref="W79">LOOKUP(0,0/FIND(振り分け設定!$A$3:$A$33,H79),振り分け設定!$B$3:$B$33)</f>
        <v>#N/A</v>
      </c>
    </row>
    <row r="80" spans="1:23" x14ac:dyDescent="0.4">
      <c r="A80" s="4" t="s">
        <v>118</v>
      </c>
      <c r="B80" s="4" t="s">
        <v>118</v>
      </c>
      <c r="W80" t="e" cm="1">
        <f t="array" ref="W80">LOOKUP(0,0/FIND(振り分け設定!$A$3:$A$33,H80),振り分け設定!$B$3:$B$33)</f>
        <v>#N/A</v>
      </c>
    </row>
    <row r="81" spans="1:23" x14ac:dyDescent="0.4">
      <c r="A81" s="4" t="s">
        <v>118</v>
      </c>
      <c r="B81" s="4" t="s">
        <v>118</v>
      </c>
      <c r="W81" t="e" cm="1">
        <f t="array" ref="W81">LOOKUP(0,0/FIND(振り分け設定!$A$3:$A$33,H81),振り分け設定!$B$3:$B$33)</f>
        <v>#N/A</v>
      </c>
    </row>
    <row r="82" spans="1:23" x14ac:dyDescent="0.4">
      <c r="A82" s="4" t="s">
        <v>118</v>
      </c>
      <c r="B82" s="4" t="s">
        <v>118</v>
      </c>
      <c r="W82" t="e" cm="1">
        <f t="array" ref="W82">LOOKUP(0,0/FIND(振り分け設定!$A$3:$A$33,H82),振り分け設定!$B$3:$B$33)</f>
        <v>#N/A</v>
      </c>
    </row>
    <row r="83" spans="1:23" x14ac:dyDescent="0.4">
      <c r="A83" s="4" t="s">
        <v>118</v>
      </c>
      <c r="B83" s="4" t="s">
        <v>118</v>
      </c>
      <c r="W83" t="e" cm="1">
        <f t="array" ref="W83">LOOKUP(0,0/FIND(振り分け設定!$A$3:$A$33,H83),振り分け設定!$B$3:$B$33)</f>
        <v>#N/A</v>
      </c>
    </row>
    <row r="84" spans="1:23" x14ac:dyDescent="0.4">
      <c r="A84" s="4" t="s">
        <v>118</v>
      </c>
      <c r="B84" s="4" t="s">
        <v>118</v>
      </c>
      <c r="W84" t="e" cm="1">
        <f t="array" ref="W84">LOOKUP(0,0/FIND(振り分け設定!$A$3:$A$33,H84),振り分け設定!$B$3:$B$33)</f>
        <v>#N/A</v>
      </c>
    </row>
    <row r="85" spans="1:23" x14ac:dyDescent="0.4">
      <c r="A85" s="4" t="s">
        <v>118</v>
      </c>
      <c r="B85" s="4" t="s">
        <v>118</v>
      </c>
      <c r="W85" t="e" cm="1">
        <f t="array" ref="W85">LOOKUP(0,0/FIND(振り分け設定!$A$3:$A$33,H85),振り分け設定!$B$3:$B$33)</f>
        <v>#N/A</v>
      </c>
    </row>
    <row r="86" spans="1:23" x14ac:dyDescent="0.4">
      <c r="A86" s="4" t="s">
        <v>118</v>
      </c>
      <c r="B86" s="4" t="s">
        <v>118</v>
      </c>
      <c r="W86" t="e" cm="1">
        <f t="array" ref="W86">LOOKUP(0,0/FIND(振り分け設定!$A$3:$A$33,H86),振り分け設定!$B$3:$B$33)</f>
        <v>#N/A</v>
      </c>
    </row>
    <row r="87" spans="1:23" x14ac:dyDescent="0.4">
      <c r="A87" s="4" t="s">
        <v>118</v>
      </c>
      <c r="B87" s="4" t="s">
        <v>118</v>
      </c>
      <c r="W87" t="e" cm="1">
        <f t="array" ref="W87">LOOKUP(0,0/FIND(振り分け設定!$A$3:$A$33,H87),振り分け設定!$B$3:$B$33)</f>
        <v>#N/A</v>
      </c>
    </row>
    <row r="88" spans="1:23" x14ac:dyDescent="0.4">
      <c r="A88" s="4" t="s">
        <v>118</v>
      </c>
      <c r="B88" s="4" t="s">
        <v>118</v>
      </c>
      <c r="W88" t="e" cm="1">
        <f t="array" ref="W88">LOOKUP(0,0/FIND(振り分け設定!$A$3:$A$33,H88),振り分け設定!$B$3:$B$33)</f>
        <v>#N/A</v>
      </c>
    </row>
    <row r="89" spans="1:23" x14ac:dyDescent="0.4">
      <c r="A89" s="4" t="s">
        <v>118</v>
      </c>
      <c r="B89" s="4" t="s">
        <v>118</v>
      </c>
      <c r="W89" t="e" cm="1">
        <f t="array" ref="W89">LOOKUP(0,0/FIND(振り分け設定!$A$3:$A$33,H89),振り分け設定!$B$3:$B$33)</f>
        <v>#N/A</v>
      </c>
    </row>
    <row r="90" spans="1:23" x14ac:dyDescent="0.4">
      <c r="A90" s="4" t="s">
        <v>118</v>
      </c>
      <c r="B90" s="4" t="s">
        <v>118</v>
      </c>
      <c r="W90" t="e" cm="1">
        <f t="array" ref="W90">LOOKUP(0,0/FIND(振り分け設定!$A$3:$A$33,H90),振り分け設定!$B$3:$B$33)</f>
        <v>#N/A</v>
      </c>
    </row>
    <row r="91" spans="1:23" x14ac:dyDescent="0.4">
      <c r="A91" s="4" t="s">
        <v>118</v>
      </c>
      <c r="B91" s="4" t="s">
        <v>118</v>
      </c>
      <c r="W91" t="e" cm="1">
        <f t="array" ref="W91">LOOKUP(0,0/FIND(振り分け設定!$A$3:$A$33,H91),振り分け設定!$B$3:$B$33)</f>
        <v>#N/A</v>
      </c>
    </row>
    <row r="92" spans="1:23" x14ac:dyDescent="0.4">
      <c r="A92" s="4" t="s">
        <v>118</v>
      </c>
      <c r="B92" s="4" t="s">
        <v>118</v>
      </c>
      <c r="W92" t="e" cm="1">
        <f t="array" ref="W92">LOOKUP(0,0/FIND(振り分け設定!$A$3:$A$33,H92),振り分け設定!$B$3:$B$33)</f>
        <v>#N/A</v>
      </c>
    </row>
    <row r="93" spans="1:23" x14ac:dyDescent="0.4">
      <c r="A93" s="4" t="s">
        <v>118</v>
      </c>
      <c r="B93" s="4" t="s">
        <v>118</v>
      </c>
      <c r="W93" t="e" cm="1">
        <f t="array" ref="W93">LOOKUP(0,0/FIND(振り分け設定!$A$3:$A$33,H93),振り分け設定!$B$3:$B$33)</f>
        <v>#N/A</v>
      </c>
    </row>
    <row r="94" spans="1:23" x14ac:dyDescent="0.4">
      <c r="A94" s="4" t="s">
        <v>118</v>
      </c>
      <c r="B94" s="4" t="s">
        <v>118</v>
      </c>
      <c r="W94" t="e" cm="1">
        <f t="array" ref="W94">LOOKUP(0,0/FIND(振り分け設定!$A$3:$A$33,H94),振り分け設定!$B$3:$B$33)</f>
        <v>#N/A</v>
      </c>
    </row>
    <row r="95" spans="1:23" x14ac:dyDescent="0.4">
      <c r="A95" s="4" t="s">
        <v>118</v>
      </c>
      <c r="B95" s="4" t="s">
        <v>118</v>
      </c>
      <c r="W95" t="e" cm="1">
        <f t="array" ref="W95">LOOKUP(0,0/FIND(振り分け設定!$A$3:$A$33,H95),振り分け設定!$B$3:$B$33)</f>
        <v>#N/A</v>
      </c>
    </row>
    <row r="96" spans="1:23" x14ac:dyDescent="0.4">
      <c r="A96" s="4" t="s">
        <v>118</v>
      </c>
      <c r="B96" s="4" t="s">
        <v>118</v>
      </c>
      <c r="W96" t="e" cm="1">
        <f t="array" ref="W96">LOOKUP(0,0/FIND(振り分け設定!$A$3:$A$33,H96),振り分け設定!$B$3:$B$33)</f>
        <v>#N/A</v>
      </c>
    </row>
    <row r="97" spans="1:23" x14ac:dyDescent="0.4">
      <c r="A97" s="4" t="s">
        <v>118</v>
      </c>
      <c r="B97" s="4" t="s">
        <v>118</v>
      </c>
      <c r="W97" t="e" cm="1">
        <f t="array" ref="W97">LOOKUP(0,0/FIND(振り分け設定!$A$3:$A$33,H97),振り分け設定!$B$3:$B$33)</f>
        <v>#N/A</v>
      </c>
    </row>
    <row r="98" spans="1:23" x14ac:dyDescent="0.4">
      <c r="A98" s="4" t="s">
        <v>118</v>
      </c>
      <c r="B98" s="4" t="s">
        <v>118</v>
      </c>
      <c r="W98" t="e" cm="1">
        <f t="array" ref="W98">LOOKUP(0,0/FIND(振り分け設定!$A$3:$A$33,H98),振り分け設定!$B$3:$B$33)</f>
        <v>#N/A</v>
      </c>
    </row>
    <row r="99" spans="1:23" x14ac:dyDescent="0.4">
      <c r="A99" s="4" t="s">
        <v>118</v>
      </c>
      <c r="B99" s="4" t="s">
        <v>118</v>
      </c>
      <c r="W99" t="e" cm="1">
        <f t="array" ref="W99">LOOKUP(0,0/FIND(振り分け設定!$A$3:$A$33,H99),振り分け設定!$B$3:$B$33)</f>
        <v>#N/A</v>
      </c>
    </row>
    <row r="100" spans="1:23" x14ac:dyDescent="0.4">
      <c r="A100" s="4" t="s">
        <v>118</v>
      </c>
      <c r="B100" s="4" t="s">
        <v>118</v>
      </c>
      <c r="W100" t="e" cm="1">
        <f t="array" ref="W100">LOOKUP(0,0/FIND(振り分け設定!$A$3:$A$33,H100),振り分け設定!$B$3:$B$33)</f>
        <v>#N/A</v>
      </c>
    </row>
    <row r="101" spans="1:23" x14ac:dyDescent="0.4">
      <c r="A101" s="4" t="s">
        <v>118</v>
      </c>
      <c r="B101" s="4" t="s">
        <v>118</v>
      </c>
      <c r="W101" t="e" cm="1">
        <f t="array" ref="W101">LOOKUP(0,0/FIND(振り分け設定!$A$3:$A$33,H101),振り分け設定!$B$3:$B$33)</f>
        <v>#N/A</v>
      </c>
    </row>
    <row r="102" spans="1:23" x14ac:dyDescent="0.4">
      <c r="A102" s="4" t="s">
        <v>118</v>
      </c>
      <c r="B102" s="4" t="s">
        <v>118</v>
      </c>
      <c r="W102" t="e" cm="1">
        <f t="array" ref="W102">LOOKUP(0,0/FIND(振り分け設定!$A$3:$A$33,H102),振り分け設定!$B$3:$B$33)</f>
        <v>#N/A</v>
      </c>
    </row>
    <row r="103" spans="1:23" x14ac:dyDescent="0.4">
      <c r="A103" s="4" t="s">
        <v>118</v>
      </c>
      <c r="B103" s="4" t="s">
        <v>118</v>
      </c>
      <c r="W103" t="e" cm="1">
        <f t="array" ref="W103">LOOKUP(0,0/FIND(振り分け設定!$A$3:$A$33,H103),振り分け設定!$B$3:$B$33)</f>
        <v>#N/A</v>
      </c>
    </row>
    <row r="104" spans="1:23" x14ac:dyDescent="0.4">
      <c r="A104" s="4" t="s">
        <v>118</v>
      </c>
      <c r="B104" s="4" t="s">
        <v>118</v>
      </c>
      <c r="W104" t="e" cm="1">
        <f t="array" ref="W104">LOOKUP(0,0/FIND(振り分け設定!$A$3:$A$33,H104),振り分け設定!$B$3:$B$33)</f>
        <v>#N/A</v>
      </c>
    </row>
    <row r="105" spans="1:23" x14ac:dyDescent="0.4">
      <c r="A105" s="4" t="s">
        <v>118</v>
      </c>
      <c r="B105" s="4" t="s">
        <v>118</v>
      </c>
      <c r="W105" t="e" cm="1">
        <f t="array" ref="W105">LOOKUP(0,0/FIND(振り分け設定!$A$3:$A$33,H105),振り分け設定!$B$3:$B$33)</f>
        <v>#N/A</v>
      </c>
    </row>
    <row r="106" spans="1:23" x14ac:dyDescent="0.4">
      <c r="A106" s="4" t="s">
        <v>118</v>
      </c>
      <c r="B106" s="4" t="s">
        <v>118</v>
      </c>
      <c r="W106" t="e" cm="1">
        <f t="array" ref="W106">LOOKUP(0,0/FIND(振り分け設定!$A$3:$A$33,H106),振り分け設定!$B$3:$B$33)</f>
        <v>#N/A</v>
      </c>
    </row>
    <row r="107" spans="1:23" x14ac:dyDescent="0.4">
      <c r="A107" s="4" t="s">
        <v>118</v>
      </c>
      <c r="B107" s="4" t="s">
        <v>118</v>
      </c>
      <c r="W107" t="e" cm="1">
        <f t="array" ref="W107">LOOKUP(0,0/FIND(振り分け設定!$A$3:$A$33,H107),振り分け設定!$B$3:$B$33)</f>
        <v>#N/A</v>
      </c>
    </row>
    <row r="108" spans="1:23" x14ac:dyDescent="0.4">
      <c r="A108" s="4" t="s">
        <v>118</v>
      </c>
      <c r="B108" s="4" t="s">
        <v>118</v>
      </c>
      <c r="W108" t="e" cm="1">
        <f t="array" ref="W108">LOOKUP(0,0/FIND(振り分け設定!$A$3:$A$33,H108),振り分け設定!$B$3:$B$33)</f>
        <v>#N/A</v>
      </c>
    </row>
    <row r="109" spans="1:23" x14ac:dyDescent="0.4">
      <c r="A109" s="4" t="s">
        <v>118</v>
      </c>
      <c r="B109" s="4" t="s">
        <v>118</v>
      </c>
      <c r="W109" t="e" cm="1">
        <f t="array" ref="W109">LOOKUP(0,0/FIND(振り分け設定!$A$3:$A$33,H109),振り分け設定!$B$3:$B$33)</f>
        <v>#N/A</v>
      </c>
    </row>
    <row r="110" spans="1:23" x14ac:dyDescent="0.4">
      <c r="A110" s="4" t="s">
        <v>118</v>
      </c>
      <c r="B110" s="4" t="s">
        <v>118</v>
      </c>
      <c r="W110" t="e" cm="1">
        <f t="array" ref="W110">LOOKUP(0,0/FIND(振り分け設定!$A$3:$A$33,H110),振り分け設定!$B$3:$B$33)</f>
        <v>#N/A</v>
      </c>
    </row>
    <row r="111" spans="1:23" x14ac:dyDescent="0.4">
      <c r="A111" s="4" t="s">
        <v>118</v>
      </c>
      <c r="B111" s="4" t="s">
        <v>118</v>
      </c>
      <c r="W111" t="e" cm="1">
        <f t="array" ref="W111">LOOKUP(0,0/FIND(振り分け設定!$A$3:$A$33,H111),振り分け設定!$B$3:$B$33)</f>
        <v>#N/A</v>
      </c>
    </row>
    <row r="112" spans="1:23" x14ac:dyDescent="0.4">
      <c r="A112" s="4" t="s">
        <v>118</v>
      </c>
      <c r="B112" s="4" t="s">
        <v>118</v>
      </c>
      <c r="W112" t="e" cm="1">
        <f t="array" ref="W112">LOOKUP(0,0/FIND(振り分け設定!$A$3:$A$33,H112),振り分け設定!$B$3:$B$33)</f>
        <v>#N/A</v>
      </c>
    </row>
    <row r="113" spans="1:23" x14ac:dyDescent="0.4">
      <c r="A113" s="4" t="s">
        <v>118</v>
      </c>
      <c r="B113" s="4" t="s">
        <v>118</v>
      </c>
      <c r="W113" t="e" cm="1">
        <f t="array" ref="W113">LOOKUP(0,0/FIND(振り分け設定!$A$3:$A$33,H113),振り分け設定!$B$3:$B$33)</f>
        <v>#N/A</v>
      </c>
    </row>
    <row r="114" spans="1:23" x14ac:dyDescent="0.4">
      <c r="A114" s="4" t="s">
        <v>118</v>
      </c>
      <c r="B114" s="4" t="s">
        <v>118</v>
      </c>
      <c r="W114" t="e" cm="1">
        <f t="array" ref="W114">LOOKUP(0,0/FIND(振り分け設定!$A$3:$A$33,H114),振り分け設定!$B$3:$B$33)</f>
        <v>#N/A</v>
      </c>
    </row>
    <row r="115" spans="1:23" x14ac:dyDescent="0.4">
      <c r="A115" s="4" t="s">
        <v>118</v>
      </c>
      <c r="B115" s="4" t="s">
        <v>118</v>
      </c>
      <c r="W115" t="e" cm="1">
        <f t="array" ref="W115">LOOKUP(0,0/FIND(振り分け設定!$A$3:$A$33,H115),振り分け設定!$B$3:$B$33)</f>
        <v>#N/A</v>
      </c>
    </row>
    <row r="116" spans="1:23" x14ac:dyDescent="0.4">
      <c r="A116" s="4" t="s">
        <v>118</v>
      </c>
      <c r="B116" s="4" t="s">
        <v>118</v>
      </c>
      <c r="W116" t="e" cm="1">
        <f t="array" ref="W116">LOOKUP(0,0/FIND(振り分け設定!$A$3:$A$33,H116),振り分け設定!$B$3:$B$33)</f>
        <v>#N/A</v>
      </c>
    </row>
    <row r="117" spans="1:23" x14ac:dyDescent="0.4">
      <c r="A117" s="4" t="s">
        <v>118</v>
      </c>
      <c r="B117" s="4" t="s">
        <v>118</v>
      </c>
      <c r="W117" t="e" cm="1">
        <f t="array" ref="W117">LOOKUP(0,0/FIND(振り分け設定!$A$3:$A$33,H117),振り分け設定!$B$3:$B$33)</f>
        <v>#N/A</v>
      </c>
    </row>
    <row r="118" spans="1:23" x14ac:dyDescent="0.4">
      <c r="A118" s="4" t="s">
        <v>118</v>
      </c>
      <c r="B118" s="4" t="s">
        <v>118</v>
      </c>
      <c r="W118" t="e" cm="1">
        <f t="array" ref="W118">LOOKUP(0,0/FIND(振り分け設定!$A$3:$A$33,H118),振り分け設定!$B$3:$B$33)</f>
        <v>#N/A</v>
      </c>
    </row>
    <row r="119" spans="1:23" x14ac:dyDescent="0.4">
      <c r="A119" s="4" t="s">
        <v>118</v>
      </c>
      <c r="B119" s="4" t="s">
        <v>118</v>
      </c>
      <c r="W119" t="e" cm="1">
        <f t="array" ref="W119">LOOKUP(0,0/FIND(振り分け設定!$A$3:$A$33,H119),振り分け設定!$B$3:$B$33)</f>
        <v>#N/A</v>
      </c>
    </row>
    <row r="120" spans="1:23" x14ac:dyDescent="0.4">
      <c r="A120" s="4" t="s">
        <v>118</v>
      </c>
      <c r="B120" s="4" t="s">
        <v>118</v>
      </c>
      <c r="W120" t="e" cm="1">
        <f t="array" ref="W120">LOOKUP(0,0/FIND(振り分け設定!$A$3:$A$33,H120),振り分け設定!$B$3:$B$33)</f>
        <v>#N/A</v>
      </c>
    </row>
    <row r="121" spans="1:23" x14ac:dyDescent="0.4">
      <c r="A121" s="4" t="s">
        <v>118</v>
      </c>
      <c r="B121" s="4" t="s">
        <v>118</v>
      </c>
      <c r="W121" t="e" cm="1">
        <f t="array" ref="W121">LOOKUP(0,0/FIND(振り分け設定!$A$3:$A$33,H121),振り分け設定!$B$3:$B$33)</f>
        <v>#N/A</v>
      </c>
    </row>
    <row r="122" spans="1:23" x14ac:dyDescent="0.4">
      <c r="A122" s="4" t="s">
        <v>118</v>
      </c>
      <c r="B122" s="4" t="s">
        <v>118</v>
      </c>
      <c r="W122" t="e" cm="1">
        <f t="array" ref="W122">LOOKUP(0,0/FIND(振り分け設定!$A$3:$A$33,H122),振り分け設定!$B$3:$B$33)</f>
        <v>#N/A</v>
      </c>
    </row>
    <row r="123" spans="1:23" x14ac:dyDescent="0.4">
      <c r="A123" s="4" t="s">
        <v>118</v>
      </c>
      <c r="B123" s="4" t="s">
        <v>118</v>
      </c>
      <c r="W123" t="e" cm="1">
        <f t="array" ref="W123">LOOKUP(0,0/FIND(振り分け設定!$A$3:$A$33,H123),振り分け設定!$B$3:$B$33)</f>
        <v>#N/A</v>
      </c>
    </row>
    <row r="124" spans="1:23" x14ac:dyDescent="0.4">
      <c r="A124" s="4" t="s">
        <v>118</v>
      </c>
      <c r="B124" s="4" t="s">
        <v>118</v>
      </c>
      <c r="W124" t="e" cm="1">
        <f t="array" ref="W124">LOOKUP(0,0/FIND(振り分け設定!$A$3:$A$33,H124),振り分け設定!$B$3:$B$33)</f>
        <v>#N/A</v>
      </c>
    </row>
    <row r="125" spans="1:23" x14ac:dyDescent="0.4">
      <c r="A125" s="4" t="s">
        <v>118</v>
      </c>
      <c r="B125" s="4" t="s">
        <v>118</v>
      </c>
      <c r="W125" t="e" cm="1">
        <f t="array" ref="W125">LOOKUP(0,0/FIND(振り分け設定!$A$3:$A$33,H125),振り分け設定!$B$3:$B$33)</f>
        <v>#N/A</v>
      </c>
    </row>
    <row r="126" spans="1:23" x14ac:dyDescent="0.4">
      <c r="A126" s="4" t="s">
        <v>118</v>
      </c>
      <c r="B126" s="4" t="s">
        <v>118</v>
      </c>
      <c r="W126" t="e" cm="1">
        <f t="array" ref="W126">LOOKUP(0,0/FIND(振り分け設定!$A$3:$A$33,H126),振り分け設定!$B$3:$B$33)</f>
        <v>#N/A</v>
      </c>
    </row>
    <row r="127" spans="1:23" x14ac:dyDescent="0.4">
      <c r="A127" s="4" t="s">
        <v>118</v>
      </c>
      <c r="B127" s="4" t="s">
        <v>118</v>
      </c>
      <c r="W127" t="e" cm="1">
        <f t="array" ref="W127">LOOKUP(0,0/FIND(振り分け設定!$A$3:$A$33,H127),振り分け設定!$B$3:$B$33)</f>
        <v>#N/A</v>
      </c>
    </row>
    <row r="128" spans="1:23" x14ac:dyDescent="0.4">
      <c r="A128" s="4" t="s">
        <v>118</v>
      </c>
      <c r="B128" s="4" t="s">
        <v>118</v>
      </c>
    </row>
    <row r="129" spans="1:2" x14ac:dyDescent="0.4">
      <c r="A129" s="4" t="s">
        <v>118</v>
      </c>
      <c r="B129" s="4" t="s">
        <v>118</v>
      </c>
    </row>
    <row r="130" spans="1:2" x14ac:dyDescent="0.4">
      <c r="A130" s="4" t="s">
        <v>118</v>
      </c>
      <c r="B130" s="4" t="s">
        <v>118</v>
      </c>
    </row>
    <row r="131" spans="1:2" x14ac:dyDescent="0.4">
      <c r="A131" s="4" t="s">
        <v>118</v>
      </c>
      <c r="B131" s="4" t="s">
        <v>118</v>
      </c>
    </row>
    <row r="132" spans="1:2" x14ac:dyDescent="0.4">
      <c r="A132" s="4" t="s">
        <v>118</v>
      </c>
      <c r="B132" s="4" t="s">
        <v>118</v>
      </c>
    </row>
    <row r="133" spans="1:2" x14ac:dyDescent="0.4">
      <c r="A133" s="4" t="s">
        <v>118</v>
      </c>
      <c r="B133" s="4" t="s">
        <v>118</v>
      </c>
    </row>
    <row r="134" spans="1:2" x14ac:dyDescent="0.4">
      <c r="A134" s="4" t="s">
        <v>118</v>
      </c>
      <c r="B134" s="4" t="s">
        <v>118</v>
      </c>
    </row>
    <row r="135" spans="1:2" x14ac:dyDescent="0.4">
      <c r="A135" s="4" t="s">
        <v>118</v>
      </c>
      <c r="B135" s="4" t="s">
        <v>118</v>
      </c>
    </row>
    <row r="136" spans="1:2" x14ac:dyDescent="0.4">
      <c r="A136" s="4" t="s">
        <v>118</v>
      </c>
      <c r="B136" s="4" t="s">
        <v>118</v>
      </c>
    </row>
    <row r="137" spans="1:2" x14ac:dyDescent="0.4">
      <c r="A137" s="4" t="s">
        <v>118</v>
      </c>
      <c r="B137" s="4" t="s">
        <v>118</v>
      </c>
    </row>
    <row r="138" spans="1:2" x14ac:dyDescent="0.4">
      <c r="A138" s="4" t="s">
        <v>118</v>
      </c>
      <c r="B138" s="4" t="s">
        <v>118</v>
      </c>
    </row>
    <row r="139" spans="1:2" x14ac:dyDescent="0.4">
      <c r="A139" s="4" t="s">
        <v>118</v>
      </c>
      <c r="B139" s="4" t="s">
        <v>118</v>
      </c>
    </row>
    <row r="140" spans="1:2" x14ac:dyDescent="0.4">
      <c r="A140" s="4" t="s">
        <v>118</v>
      </c>
      <c r="B140" s="4" t="s">
        <v>118</v>
      </c>
    </row>
    <row r="141" spans="1:2" x14ac:dyDescent="0.4">
      <c r="A141" s="4" t="s">
        <v>118</v>
      </c>
      <c r="B141" s="4" t="s">
        <v>118</v>
      </c>
    </row>
    <row r="142" spans="1:2" x14ac:dyDescent="0.4">
      <c r="A142" s="4" t="s">
        <v>118</v>
      </c>
      <c r="B142" s="4" t="s">
        <v>118</v>
      </c>
    </row>
    <row r="143" spans="1:2" x14ac:dyDescent="0.4">
      <c r="A143" s="4" t="s">
        <v>118</v>
      </c>
      <c r="B143" s="4" t="s">
        <v>118</v>
      </c>
    </row>
    <row r="144" spans="1:2" x14ac:dyDescent="0.4">
      <c r="A144" s="4" t="s">
        <v>118</v>
      </c>
      <c r="B144" s="4" t="s">
        <v>118</v>
      </c>
    </row>
    <row r="145" spans="1:2" x14ac:dyDescent="0.4">
      <c r="A145" s="4" t="s">
        <v>118</v>
      </c>
      <c r="B145" s="4" t="s">
        <v>118</v>
      </c>
    </row>
    <row r="146" spans="1:2" x14ac:dyDescent="0.4">
      <c r="A146" s="4" t="s">
        <v>118</v>
      </c>
      <c r="B146" s="4" t="s">
        <v>118</v>
      </c>
    </row>
    <row r="147" spans="1:2" x14ac:dyDescent="0.4">
      <c r="A147" s="4" t="s">
        <v>118</v>
      </c>
      <c r="B147" s="4" t="s">
        <v>118</v>
      </c>
    </row>
    <row r="148" spans="1:2" x14ac:dyDescent="0.4">
      <c r="A148" s="4" t="s">
        <v>118</v>
      </c>
      <c r="B148" s="4" t="s">
        <v>118</v>
      </c>
    </row>
    <row r="149" spans="1:2" x14ac:dyDescent="0.4">
      <c r="A149" s="4" t="s">
        <v>118</v>
      </c>
      <c r="B149" s="4" t="s">
        <v>118</v>
      </c>
    </row>
    <row r="150" spans="1:2" x14ac:dyDescent="0.4">
      <c r="A150" s="4" t="s">
        <v>118</v>
      </c>
      <c r="B150" s="4" t="s">
        <v>118</v>
      </c>
    </row>
    <row r="151" spans="1:2" x14ac:dyDescent="0.4">
      <c r="A151" s="4" t="s">
        <v>118</v>
      </c>
      <c r="B151" s="4" t="s">
        <v>118</v>
      </c>
    </row>
    <row r="152" spans="1:2" x14ac:dyDescent="0.4">
      <c r="A152" s="4" t="s">
        <v>118</v>
      </c>
      <c r="B152" s="4" t="s">
        <v>118</v>
      </c>
    </row>
    <row r="153" spans="1:2" x14ac:dyDescent="0.4">
      <c r="A153" s="4" t="s">
        <v>118</v>
      </c>
      <c r="B153" s="4" t="s">
        <v>118</v>
      </c>
    </row>
    <row r="154" spans="1:2" x14ac:dyDescent="0.4">
      <c r="A154" s="4" t="s">
        <v>118</v>
      </c>
      <c r="B154" s="4" t="s">
        <v>118</v>
      </c>
    </row>
    <row r="155" spans="1:2" x14ac:dyDescent="0.4">
      <c r="A155" s="4" t="s">
        <v>118</v>
      </c>
      <c r="B155" s="4" t="s">
        <v>118</v>
      </c>
    </row>
    <row r="156" spans="1:2" x14ac:dyDescent="0.4">
      <c r="A156" s="4" t="s">
        <v>118</v>
      </c>
      <c r="B156" s="4" t="s">
        <v>118</v>
      </c>
    </row>
    <row r="157" spans="1:2" x14ac:dyDescent="0.4">
      <c r="A157" s="4" t="s">
        <v>118</v>
      </c>
      <c r="B157" s="4" t="s">
        <v>118</v>
      </c>
    </row>
    <row r="158" spans="1:2" x14ac:dyDescent="0.4">
      <c r="A158" s="4" t="s">
        <v>118</v>
      </c>
      <c r="B158" s="4" t="s">
        <v>118</v>
      </c>
    </row>
    <row r="159" spans="1:2" x14ac:dyDescent="0.4">
      <c r="A159" s="4" t="s">
        <v>118</v>
      </c>
      <c r="B159" s="4" t="s">
        <v>118</v>
      </c>
    </row>
    <row r="160" spans="1:2" x14ac:dyDescent="0.4">
      <c r="A160" s="4" t="s">
        <v>118</v>
      </c>
      <c r="B160" s="4" t="s">
        <v>118</v>
      </c>
    </row>
    <row r="161" spans="1:2" x14ac:dyDescent="0.4">
      <c r="A161" s="4" t="s">
        <v>118</v>
      </c>
      <c r="B161" s="4" t="s">
        <v>118</v>
      </c>
    </row>
    <row r="162" spans="1:2" x14ac:dyDescent="0.4">
      <c r="A162" s="4" t="s">
        <v>118</v>
      </c>
      <c r="B162" s="4" t="s">
        <v>118</v>
      </c>
    </row>
    <row r="163" spans="1:2" x14ac:dyDescent="0.4">
      <c r="A163" s="4" t="s">
        <v>118</v>
      </c>
      <c r="B163" s="4" t="s">
        <v>118</v>
      </c>
    </row>
    <row r="164" spans="1:2" x14ac:dyDescent="0.4">
      <c r="A164" s="4" t="s">
        <v>118</v>
      </c>
      <c r="B164" s="4" t="s">
        <v>118</v>
      </c>
    </row>
    <row r="165" spans="1:2" x14ac:dyDescent="0.4">
      <c r="A165" s="4" t="s">
        <v>118</v>
      </c>
      <c r="B165" s="4" t="s">
        <v>118</v>
      </c>
    </row>
    <row r="166" spans="1:2" x14ac:dyDescent="0.4">
      <c r="A166" s="4" t="s">
        <v>118</v>
      </c>
      <c r="B166" s="4" t="s">
        <v>118</v>
      </c>
    </row>
    <row r="167" spans="1:2" x14ac:dyDescent="0.4">
      <c r="A167" s="4" t="s">
        <v>118</v>
      </c>
      <c r="B167" s="4" t="s">
        <v>118</v>
      </c>
    </row>
    <row r="168" spans="1:2" x14ac:dyDescent="0.4">
      <c r="A168" s="4" t="s">
        <v>118</v>
      </c>
      <c r="B168" s="4" t="s">
        <v>118</v>
      </c>
    </row>
    <row r="169" spans="1:2" x14ac:dyDescent="0.4">
      <c r="A169" s="4" t="s">
        <v>118</v>
      </c>
      <c r="B169" s="4" t="s">
        <v>118</v>
      </c>
    </row>
    <row r="170" spans="1:2" x14ac:dyDescent="0.4">
      <c r="A170" s="4" t="s">
        <v>118</v>
      </c>
      <c r="B170" s="4" t="s">
        <v>118</v>
      </c>
    </row>
    <row r="171" spans="1:2" x14ac:dyDescent="0.4">
      <c r="A171" s="4" t="s">
        <v>118</v>
      </c>
      <c r="B171" s="4" t="s">
        <v>118</v>
      </c>
    </row>
    <row r="172" spans="1:2" x14ac:dyDescent="0.4">
      <c r="A172" s="4" t="s">
        <v>118</v>
      </c>
      <c r="B172" s="4" t="s">
        <v>118</v>
      </c>
    </row>
    <row r="173" spans="1:2" x14ac:dyDescent="0.4">
      <c r="A173" s="4" t="s">
        <v>118</v>
      </c>
      <c r="B173" s="4" t="s">
        <v>118</v>
      </c>
    </row>
    <row r="174" spans="1:2" x14ac:dyDescent="0.4">
      <c r="A174" s="4" t="s">
        <v>118</v>
      </c>
      <c r="B174" s="4" t="s">
        <v>118</v>
      </c>
    </row>
    <row r="175" spans="1:2" x14ac:dyDescent="0.4">
      <c r="A175" s="4" t="s">
        <v>118</v>
      </c>
      <c r="B175" s="4" t="s">
        <v>118</v>
      </c>
    </row>
    <row r="176" spans="1:2" x14ac:dyDescent="0.4">
      <c r="A176" s="4" t="s">
        <v>118</v>
      </c>
      <c r="B176" s="4" t="s">
        <v>118</v>
      </c>
    </row>
    <row r="177" spans="1:2" x14ac:dyDescent="0.4">
      <c r="A177" s="4" t="s">
        <v>118</v>
      </c>
      <c r="B177" s="4" t="s">
        <v>118</v>
      </c>
    </row>
    <row r="178" spans="1:2" x14ac:dyDescent="0.4">
      <c r="A178" s="4" t="s">
        <v>118</v>
      </c>
      <c r="B178" s="4" t="s">
        <v>118</v>
      </c>
    </row>
    <row r="179" spans="1:2" x14ac:dyDescent="0.4">
      <c r="A179" s="4" t="s">
        <v>118</v>
      </c>
      <c r="B179" s="4" t="s">
        <v>118</v>
      </c>
    </row>
    <row r="180" spans="1:2" x14ac:dyDescent="0.4">
      <c r="A180" s="4" t="s">
        <v>118</v>
      </c>
      <c r="B180" s="4" t="s">
        <v>118</v>
      </c>
    </row>
    <row r="181" spans="1:2" x14ac:dyDescent="0.4">
      <c r="A181" s="4" t="s">
        <v>118</v>
      </c>
      <c r="B181" s="4" t="s">
        <v>118</v>
      </c>
    </row>
    <row r="182" spans="1:2" x14ac:dyDescent="0.4">
      <c r="A182" s="4" t="s">
        <v>118</v>
      </c>
      <c r="B182" s="4" t="s">
        <v>118</v>
      </c>
    </row>
    <row r="183" spans="1:2" x14ac:dyDescent="0.4">
      <c r="A183" s="4" t="s">
        <v>118</v>
      </c>
      <c r="B183" s="4" t="s">
        <v>118</v>
      </c>
    </row>
    <row r="184" spans="1:2" x14ac:dyDescent="0.4">
      <c r="A184" s="4" t="s">
        <v>118</v>
      </c>
      <c r="B184" s="4" t="s">
        <v>118</v>
      </c>
    </row>
    <row r="185" spans="1:2" x14ac:dyDescent="0.4">
      <c r="A185" s="4" t="s">
        <v>118</v>
      </c>
      <c r="B185" s="4" t="s">
        <v>118</v>
      </c>
    </row>
    <row r="186" spans="1:2" x14ac:dyDescent="0.4">
      <c r="A186" s="4" t="s">
        <v>118</v>
      </c>
      <c r="B186" s="4" t="s">
        <v>118</v>
      </c>
    </row>
    <row r="187" spans="1:2" x14ac:dyDescent="0.4">
      <c r="A187" s="4" t="s">
        <v>118</v>
      </c>
      <c r="B187" s="4" t="s">
        <v>118</v>
      </c>
    </row>
    <row r="188" spans="1:2" x14ac:dyDescent="0.4">
      <c r="A188" s="4" t="s">
        <v>118</v>
      </c>
      <c r="B188" s="4" t="s">
        <v>118</v>
      </c>
    </row>
    <row r="189" spans="1:2" x14ac:dyDescent="0.4">
      <c r="A189" s="4" t="s">
        <v>118</v>
      </c>
      <c r="B189" s="4" t="s">
        <v>118</v>
      </c>
    </row>
    <row r="190" spans="1:2" x14ac:dyDescent="0.4">
      <c r="A190" s="4" t="s">
        <v>118</v>
      </c>
      <c r="B190" s="4" t="s">
        <v>118</v>
      </c>
    </row>
    <row r="191" spans="1:2" x14ac:dyDescent="0.4">
      <c r="A191" s="4" t="s">
        <v>118</v>
      </c>
      <c r="B191" s="4" t="s">
        <v>118</v>
      </c>
    </row>
    <row r="192" spans="1:2" x14ac:dyDescent="0.4">
      <c r="A192" s="4" t="s">
        <v>118</v>
      </c>
      <c r="B192" s="4" t="s">
        <v>118</v>
      </c>
    </row>
    <row r="193" spans="1:2" x14ac:dyDescent="0.4">
      <c r="A193" s="4" t="s">
        <v>118</v>
      </c>
      <c r="B193" s="4" t="s">
        <v>118</v>
      </c>
    </row>
    <row r="194" spans="1:2" x14ac:dyDescent="0.4">
      <c r="A194" s="4" t="s">
        <v>118</v>
      </c>
      <c r="B194" s="4" t="s">
        <v>118</v>
      </c>
    </row>
    <row r="195" spans="1:2" x14ac:dyDescent="0.4">
      <c r="A195" s="4" t="s">
        <v>118</v>
      </c>
      <c r="B195" s="4" t="s">
        <v>118</v>
      </c>
    </row>
    <row r="196" spans="1:2" x14ac:dyDescent="0.4">
      <c r="A196" s="4" t="s">
        <v>118</v>
      </c>
      <c r="B196" s="4" t="s">
        <v>118</v>
      </c>
    </row>
    <row r="197" spans="1:2" x14ac:dyDescent="0.4">
      <c r="A197" s="4" t="s">
        <v>118</v>
      </c>
      <c r="B197" s="4" t="s">
        <v>118</v>
      </c>
    </row>
    <row r="198" spans="1:2" x14ac:dyDescent="0.4">
      <c r="A198" s="4" t="s">
        <v>118</v>
      </c>
      <c r="B198" s="4" t="s">
        <v>118</v>
      </c>
    </row>
    <row r="199" spans="1:2" x14ac:dyDescent="0.4">
      <c r="A199" s="4" t="s">
        <v>118</v>
      </c>
      <c r="B199" s="4" t="s">
        <v>118</v>
      </c>
    </row>
    <row r="200" spans="1:2" x14ac:dyDescent="0.4">
      <c r="A200" s="4" t="s">
        <v>118</v>
      </c>
      <c r="B200" s="4" t="s">
        <v>118</v>
      </c>
    </row>
    <row r="201" spans="1:2" x14ac:dyDescent="0.4">
      <c r="A201" s="4" t="s">
        <v>118</v>
      </c>
      <c r="B201" s="4" t="s">
        <v>118</v>
      </c>
    </row>
    <row r="202" spans="1:2" x14ac:dyDescent="0.4">
      <c r="A202" s="4" t="s">
        <v>118</v>
      </c>
      <c r="B202" s="4" t="s">
        <v>118</v>
      </c>
    </row>
    <row r="203" spans="1:2" x14ac:dyDescent="0.4">
      <c r="A203" s="4" t="s">
        <v>118</v>
      </c>
      <c r="B203" s="4" t="s">
        <v>118</v>
      </c>
    </row>
    <row r="204" spans="1:2" x14ac:dyDescent="0.4">
      <c r="A204" s="4" t="s">
        <v>118</v>
      </c>
      <c r="B204" s="4" t="s">
        <v>118</v>
      </c>
    </row>
    <row r="205" spans="1:2" x14ac:dyDescent="0.4">
      <c r="A205" s="4" t="s">
        <v>118</v>
      </c>
      <c r="B205" s="4" t="s">
        <v>118</v>
      </c>
    </row>
    <row r="206" spans="1:2" x14ac:dyDescent="0.4">
      <c r="A206" s="4" t="s">
        <v>118</v>
      </c>
      <c r="B206" s="4" t="s">
        <v>118</v>
      </c>
    </row>
    <row r="207" spans="1:2" x14ac:dyDescent="0.4">
      <c r="A207" s="4" t="s">
        <v>118</v>
      </c>
      <c r="B207" s="4" t="s">
        <v>118</v>
      </c>
    </row>
    <row r="208" spans="1:2" x14ac:dyDescent="0.4">
      <c r="A208" s="4" t="s">
        <v>118</v>
      </c>
      <c r="B208" s="4" t="s">
        <v>118</v>
      </c>
    </row>
    <row r="209" spans="1:2" x14ac:dyDescent="0.4">
      <c r="A209" s="4" t="s">
        <v>118</v>
      </c>
      <c r="B209" s="4" t="s">
        <v>118</v>
      </c>
    </row>
    <row r="210" spans="1:2" x14ac:dyDescent="0.4">
      <c r="A210" s="4" t="s">
        <v>118</v>
      </c>
      <c r="B210" s="4" t="s">
        <v>118</v>
      </c>
    </row>
    <row r="211" spans="1:2" x14ac:dyDescent="0.4">
      <c r="A211" s="4" t="s">
        <v>118</v>
      </c>
      <c r="B211" s="4" t="s">
        <v>118</v>
      </c>
    </row>
    <row r="212" spans="1:2" x14ac:dyDescent="0.4">
      <c r="A212" s="4" t="s">
        <v>118</v>
      </c>
      <c r="B212" s="4" t="s">
        <v>118</v>
      </c>
    </row>
    <row r="213" spans="1:2" x14ac:dyDescent="0.4">
      <c r="A213" s="4" t="s">
        <v>118</v>
      </c>
      <c r="B213" s="4" t="s">
        <v>118</v>
      </c>
    </row>
    <row r="214" spans="1:2" x14ac:dyDescent="0.4">
      <c r="A214" s="4" t="s">
        <v>118</v>
      </c>
      <c r="B214" s="4" t="s">
        <v>118</v>
      </c>
    </row>
    <row r="215" spans="1:2" x14ac:dyDescent="0.4">
      <c r="A215" s="4" t="s">
        <v>118</v>
      </c>
      <c r="B215" s="4" t="s">
        <v>118</v>
      </c>
    </row>
    <row r="216" spans="1:2" x14ac:dyDescent="0.4">
      <c r="A216" s="4" t="s">
        <v>118</v>
      </c>
      <c r="B216" s="4" t="s">
        <v>118</v>
      </c>
    </row>
    <row r="217" spans="1:2" x14ac:dyDescent="0.4">
      <c r="A217" s="4" t="s">
        <v>118</v>
      </c>
      <c r="B217" s="4" t="s">
        <v>118</v>
      </c>
    </row>
    <row r="218" spans="1:2" x14ac:dyDescent="0.4">
      <c r="A218" s="4" t="s">
        <v>118</v>
      </c>
      <c r="B218" s="4" t="s">
        <v>118</v>
      </c>
    </row>
    <row r="219" spans="1:2" x14ac:dyDescent="0.4">
      <c r="A219" s="4" t="s">
        <v>118</v>
      </c>
      <c r="B219" s="4" t="s">
        <v>118</v>
      </c>
    </row>
    <row r="220" spans="1:2" x14ac:dyDescent="0.4">
      <c r="A220" s="4" t="s">
        <v>118</v>
      </c>
      <c r="B220" s="4" t="s">
        <v>118</v>
      </c>
    </row>
    <row r="221" spans="1:2" x14ac:dyDescent="0.4">
      <c r="A221" s="4" t="s">
        <v>118</v>
      </c>
      <c r="B221" s="4" t="s">
        <v>118</v>
      </c>
    </row>
    <row r="222" spans="1:2" x14ac:dyDescent="0.4">
      <c r="A222" s="4" t="s">
        <v>118</v>
      </c>
      <c r="B222" s="4" t="s">
        <v>118</v>
      </c>
    </row>
    <row r="223" spans="1:2" x14ac:dyDescent="0.4">
      <c r="A223" s="4" t="s">
        <v>118</v>
      </c>
      <c r="B223" s="4" t="s">
        <v>118</v>
      </c>
    </row>
    <row r="224" spans="1:2" x14ac:dyDescent="0.4">
      <c r="A224" s="4" t="s">
        <v>118</v>
      </c>
      <c r="B224" s="4" t="s">
        <v>118</v>
      </c>
    </row>
    <row r="225" spans="1:2" x14ac:dyDescent="0.4">
      <c r="A225" s="4" t="s">
        <v>118</v>
      </c>
      <c r="B225" s="4" t="s">
        <v>118</v>
      </c>
    </row>
    <row r="226" spans="1:2" x14ac:dyDescent="0.4">
      <c r="A226" s="4" t="s">
        <v>118</v>
      </c>
      <c r="B226" s="4" t="s">
        <v>118</v>
      </c>
    </row>
    <row r="227" spans="1:2" x14ac:dyDescent="0.4">
      <c r="A227" s="4" t="s">
        <v>118</v>
      </c>
      <c r="B227" s="4" t="s">
        <v>118</v>
      </c>
    </row>
    <row r="228" spans="1:2" x14ac:dyDescent="0.4">
      <c r="A228" s="4" t="s">
        <v>118</v>
      </c>
      <c r="B228" s="4" t="s">
        <v>118</v>
      </c>
    </row>
    <row r="229" spans="1:2" x14ac:dyDescent="0.4">
      <c r="A229" s="4" t="s">
        <v>118</v>
      </c>
      <c r="B229" s="4" t="s">
        <v>118</v>
      </c>
    </row>
    <row r="230" spans="1:2" x14ac:dyDescent="0.4">
      <c r="A230" s="4" t="s">
        <v>118</v>
      </c>
      <c r="B230" s="4" t="s">
        <v>118</v>
      </c>
    </row>
    <row r="231" spans="1:2" x14ac:dyDescent="0.4">
      <c r="A231" s="4" t="s">
        <v>118</v>
      </c>
      <c r="B231" s="4" t="s">
        <v>118</v>
      </c>
    </row>
    <row r="232" spans="1:2" x14ac:dyDescent="0.4">
      <c r="A232" s="4" t="s">
        <v>118</v>
      </c>
      <c r="B232" s="4" t="s">
        <v>118</v>
      </c>
    </row>
    <row r="233" spans="1:2" x14ac:dyDescent="0.4">
      <c r="A233" s="4" t="s">
        <v>118</v>
      </c>
      <c r="B233" s="4" t="s">
        <v>118</v>
      </c>
    </row>
    <row r="234" spans="1:2" x14ac:dyDescent="0.4">
      <c r="A234" s="4" t="s">
        <v>118</v>
      </c>
      <c r="B234" s="4" t="s">
        <v>118</v>
      </c>
    </row>
    <row r="235" spans="1:2" x14ac:dyDescent="0.4">
      <c r="A235" s="4" t="s">
        <v>118</v>
      </c>
      <c r="B235" s="4" t="s">
        <v>118</v>
      </c>
    </row>
    <row r="236" spans="1:2" x14ac:dyDescent="0.4">
      <c r="A236" s="4" t="s">
        <v>118</v>
      </c>
      <c r="B236" s="4" t="s">
        <v>118</v>
      </c>
    </row>
    <row r="237" spans="1:2" x14ac:dyDescent="0.4">
      <c r="A237" s="4" t="s">
        <v>118</v>
      </c>
      <c r="B237" s="4" t="s">
        <v>118</v>
      </c>
    </row>
    <row r="238" spans="1:2" x14ac:dyDescent="0.4">
      <c r="A238" s="4" t="s">
        <v>118</v>
      </c>
      <c r="B238" s="4" t="s">
        <v>118</v>
      </c>
    </row>
    <row r="239" spans="1:2" x14ac:dyDescent="0.4">
      <c r="A239" s="4" t="s">
        <v>118</v>
      </c>
      <c r="B239" s="4" t="s">
        <v>118</v>
      </c>
    </row>
    <row r="240" spans="1:2" x14ac:dyDescent="0.4">
      <c r="A240" s="4" t="s">
        <v>118</v>
      </c>
      <c r="B240" s="4" t="s">
        <v>118</v>
      </c>
    </row>
    <row r="241" spans="1:2" x14ac:dyDescent="0.4">
      <c r="A241" s="4" t="s">
        <v>118</v>
      </c>
      <c r="B241" s="4" t="s">
        <v>118</v>
      </c>
    </row>
    <row r="242" spans="1:2" x14ac:dyDescent="0.4">
      <c r="A242" s="4" t="s">
        <v>118</v>
      </c>
      <c r="B242" s="4" t="s">
        <v>118</v>
      </c>
    </row>
    <row r="243" spans="1:2" x14ac:dyDescent="0.4">
      <c r="A243" s="4" t="s">
        <v>118</v>
      </c>
      <c r="B243" s="4" t="s">
        <v>118</v>
      </c>
    </row>
    <row r="244" spans="1:2" x14ac:dyDescent="0.4">
      <c r="A244" s="4" t="s">
        <v>118</v>
      </c>
      <c r="B244" s="4" t="s">
        <v>118</v>
      </c>
    </row>
    <row r="245" spans="1:2" x14ac:dyDescent="0.4">
      <c r="A245" s="4" t="s">
        <v>118</v>
      </c>
      <c r="B245" s="4" t="s">
        <v>118</v>
      </c>
    </row>
    <row r="246" spans="1:2" x14ac:dyDescent="0.4">
      <c r="A246" s="4" t="s">
        <v>118</v>
      </c>
      <c r="B246" s="4" t="s">
        <v>118</v>
      </c>
    </row>
    <row r="247" spans="1:2" x14ac:dyDescent="0.4">
      <c r="A247" s="4" t="s">
        <v>118</v>
      </c>
      <c r="B247" s="4" t="s">
        <v>118</v>
      </c>
    </row>
    <row r="248" spans="1:2" x14ac:dyDescent="0.4">
      <c r="A248" s="4" t="s">
        <v>118</v>
      </c>
      <c r="B248" s="4" t="s">
        <v>118</v>
      </c>
    </row>
    <row r="249" spans="1:2" x14ac:dyDescent="0.4">
      <c r="A249" s="4" t="s">
        <v>118</v>
      </c>
      <c r="B249" s="4" t="s">
        <v>118</v>
      </c>
    </row>
    <row r="250" spans="1:2" x14ac:dyDescent="0.4">
      <c r="A250" s="4" t="s">
        <v>118</v>
      </c>
      <c r="B250" s="4" t="s">
        <v>118</v>
      </c>
    </row>
    <row r="251" spans="1:2" x14ac:dyDescent="0.4">
      <c r="A251" s="4" t="s">
        <v>118</v>
      </c>
      <c r="B251" s="4" t="s">
        <v>118</v>
      </c>
    </row>
    <row r="252" spans="1:2" x14ac:dyDescent="0.4">
      <c r="A252" s="4" t="s">
        <v>118</v>
      </c>
      <c r="B252" s="4" t="s">
        <v>118</v>
      </c>
    </row>
    <row r="253" spans="1:2" x14ac:dyDescent="0.4">
      <c r="A253" s="4" t="s">
        <v>118</v>
      </c>
      <c r="B253" s="4" t="s">
        <v>118</v>
      </c>
    </row>
    <row r="254" spans="1:2" x14ac:dyDescent="0.4">
      <c r="A254" s="4" t="s">
        <v>118</v>
      </c>
      <c r="B254" s="4" t="s">
        <v>118</v>
      </c>
    </row>
    <row r="255" spans="1:2" x14ac:dyDescent="0.4">
      <c r="A255" s="4" t="s">
        <v>118</v>
      </c>
      <c r="B255" s="4" t="s">
        <v>118</v>
      </c>
    </row>
    <row r="256" spans="1:2" x14ac:dyDescent="0.4">
      <c r="A256" s="4" t="s">
        <v>118</v>
      </c>
      <c r="B256" s="4" t="s">
        <v>118</v>
      </c>
    </row>
    <row r="257" spans="1:2" x14ac:dyDescent="0.4">
      <c r="A257" s="4" t="s">
        <v>118</v>
      </c>
      <c r="B257" s="4" t="s">
        <v>118</v>
      </c>
    </row>
    <row r="258" spans="1:2" x14ac:dyDescent="0.4">
      <c r="A258" s="4" t="s">
        <v>118</v>
      </c>
      <c r="B258" s="4" t="s">
        <v>118</v>
      </c>
    </row>
    <row r="259" spans="1:2" x14ac:dyDescent="0.4">
      <c r="A259" s="4" t="s">
        <v>118</v>
      </c>
      <c r="B259" s="4" t="s">
        <v>118</v>
      </c>
    </row>
    <row r="260" spans="1:2" x14ac:dyDescent="0.4">
      <c r="A260" s="4" t="s">
        <v>118</v>
      </c>
      <c r="B260" s="4" t="s">
        <v>118</v>
      </c>
    </row>
    <row r="261" spans="1:2" x14ac:dyDescent="0.4">
      <c r="A261" s="4" t="s">
        <v>118</v>
      </c>
      <c r="B261" s="4" t="s">
        <v>118</v>
      </c>
    </row>
    <row r="262" spans="1:2" x14ac:dyDescent="0.4">
      <c r="A262" s="4" t="s">
        <v>118</v>
      </c>
      <c r="B262" s="4" t="s">
        <v>118</v>
      </c>
    </row>
    <row r="263" spans="1:2" x14ac:dyDescent="0.4">
      <c r="A263" s="4" t="s">
        <v>118</v>
      </c>
      <c r="B263" s="4" t="s">
        <v>118</v>
      </c>
    </row>
    <row r="264" spans="1:2" x14ac:dyDescent="0.4">
      <c r="A264" s="4" t="s">
        <v>118</v>
      </c>
      <c r="B264" s="4" t="s">
        <v>118</v>
      </c>
    </row>
    <row r="265" spans="1:2" x14ac:dyDescent="0.4">
      <c r="A265" s="4" t="s">
        <v>118</v>
      </c>
      <c r="B265" s="4" t="s">
        <v>118</v>
      </c>
    </row>
    <row r="266" spans="1:2" x14ac:dyDescent="0.4">
      <c r="A266" s="4" t="s">
        <v>118</v>
      </c>
      <c r="B266" s="4" t="s">
        <v>118</v>
      </c>
    </row>
    <row r="267" spans="1:2" x14ac:dyDescent="0.4">
      <c r="A267" s="4" t="s">
        <v>118</v>
      </c>
      <c r="B267" s="4" t="s">
        <v>118</v>
      </c>
    </row>
    <row r="268" spans="1:2" x14ac:dyDescent="0.4">
      <c r="A268" s="4" t="s">
        <v>118</v>
      </c>
      <c r="B268" s="4" t="s">
        <v>118</v>
      </c>
    </row>
    <row r="269" spans="1:2" x14ac:dyDescent="0.4">
      <c r="A269" s="4" t="s">
        <v>118</v>
      </c>
      <c r="B269" s="4" t="s">
        <v>118</v>
      </c>
    </row>
    <row r="270" spans="1:2" x14ac:dyDescent="0.4">
      <c r="A270" s="4" t="s">
        <v>118</v>
      </c>
      <c r="B270" s="4" t="s">
        <v>118</v>
      </c>
    </row>
    <row r="271" spans="1:2" x14ac:dyDescent="0.4">
      <c r="A271" s="4" t="s">
        <v>118</v>
      </c>
      <c r="B271" s="4" t="s">
        <v>118</v>
      </c>
    </row>
    <row r="272" spans="1:2" x14ac:dyDescent="0.4">
      <c r="A272" s="4" t="s">
        <v>118</v>
      </c>
      <c r="B272" s="4" t="s">
        <v>118</v>
      </c>
    </row>
    <row r="273" spans="1:2" x14ac:dyDescent="0.4">
      <c r="A273" s="4" t="s">
        <v>118</v>
      </c>
      <c r="B273" s="4" t="s">
        <v>118</v>
      </c>
    </row>
    <row r="274" spans="1:2" x14ac:dyDescent="0.4">
      <c r="A274" s="4" t="s">
        <v>118</v>
      </c>
      <c r="B274" s="4" t="s">
        <v>118</v>
      </c>
    </row>
    <row r="275" spans="1:2" x14ac:dyDescent="0.4">
      <c r="A275" s="4" t="s">
        <v>118</v>
      </c>
      <c r="B275" s="4" t="s">
        <v>118</v>
      </c>
    </row>
    <row r="276" spans="1:2" x14ac:dyDescent="0.4">
      <c r="A276" s="4" t="s">
        <v>118</v>
      </c>
      <c r="B276" s="4" t="s">
        <v>118</v>
      </c>
    </row>
    <row r="277" spans="1:2" x14ac:dyDescent="0.4">
      <c r="A277" s="4" t="s">
        <v>118</v>
      </c>
      <c r="B277" s="4" t="s">
        <v>118</v>
      </c>
    </row>
    <row r="278" spans="1:2" x14ac:dyDescent="0.4">
      <c r="A278" s="4" t="s">
        <v>118</v>
      </c>
      <c r="B278" s="4" t="s">
        <v>118</v>
      </c>
    </row>
    <row r="279" spans="1:2" x14ac:dyDescent="0.4">
      <c r="A279" s="4" t="s">
        <v>118</v>
      </c>
      <c r="B279" s="4" t="s">
        <v>118</v>
      </c>
    </row>
    <row r="280" spans="1:2" x14ac:dyDescent="0.4">
      <c r="A280" s="4" t="s">
        <v>118</v>
      </c>
      <c r="B280" s="4" t="s">
        <v>118</v>
      </c>
    </row>
    <row r="281" spans="1:2" x14ac:dyDescent="0.4">
      <c r="A281" s="4" t="s">
        <v>118</v>
      </c>
      <c r="B281" s="4" t="s">
        <v>118</v>
      </c>
    </row>
    <row r="282" spans="1:2" x14ac:dyDescent="0.4">
      <c r="A282" s="4" t="s">
        <v>118</v>
      </c>
      <c r="B282" s="4" t="s">
        <v>118</v>
      </c>
    </row>
    <row r="283" spans="1:2" x14ac:dyDescent="0.4">
      <c r="A283" s="4" t="s">
        <v>118</v>
      </c>
      <c r="B283" s="4" t="s">
        <v>118</v>
      </c>
    </row>
    <row r="284" spans="1:2" x14ac:dyDescent="0.4">
      <c r="A284" s="4" t="s">
        <v>118</v>
      </c>
      <c r="B284" s="4" t="s">
        <v>118</v>
      </c>
    </row>
    <row r="285" spans="1:2" x14ac:dyDescent="0.4">
      <c r="A285" s="4" t="s">
        <v>118</v>
      </c>
      <c r="B285" s="4" t="s">
        <v>118</v>
      </c>
    </row>
    <row r="286" spans="1:2" x14ac:dyDescent="0.4">
      <c r="A286" s="4" t="s">
        <v>118</v>
      </c>
      <c r="B286" s="4" t="s">
        <v>118</v>
      </c>
    </row>
    <row r="287" spans="1:2" x14ac:dyDescent="0.4">
      <c r="A287" s="4" t="s">
        <v>118</v>
      </c>
      <c r="B287" s="4" t="s">
        <v>118</v>
      </c>
    </row>
    <row r="288" spans="1:2" x14ac:dyDescent="0.4">
      <c r="A288" s="4" t="s">
        <v>118</v>
      </c>
      <c r="B288" s="4" t="s">
        <v>118</v>
      </c>
    </row>
    <row r="289" spans="1:2" x14ac:dyDescent="0.4">
      <c r="A289" s="4" t="s">
        <v>118</v>
      </c>
      <c r="B289" s="4" t="s">
        <v>118</v>
      </c>
    </row>
    <row r="290" spans="1:2" x14ac:dyDescent="0.4">
      <c r="A290" s="4" t="s">
        <v>118</v>
      </c>
      <c r="B290" s="4" t="s">
        <v>118</v>
      </c>
    </row>
    <row r="291" spans="1:2" x14ac:dyDescent="0.4">
      <c r="A291" s="4" t="s">
        <v>118</v>
      </c>
      <c r="B291" s="4" t="s">
        <v>118</v>
      </c>
    </row>
    <row r="292" spans="1:2" x14ac:dyDescent="0.4">
      <c r="A292" s="4" t="s">
        <v>118</v>
      </c>
      <c r="B292" s="4" t="s">
        <v>118</v>
      </c>
    </row>
    <row r="293" spans="1:2" x14ac:dyDescent="0.4">
      <c r="A293" s="4" t="s">
        <v>118</v>
      </c>
      <c r="B293" s="4" t="s">
        <v>118</v>
      </c>
    </row>
    <row r="294" spans="1:2" x14ac:dyDescent="0.4">
      <c r="A294" s="4" t="s">
        <v>118</v>
      </c>
      <c r="B294" s="4" t="s">
        <v>118</v>
      </c>
    </row>
    <row r="295" spans="1:2" x14ac:dyDescent="0.4">
      <c r="A295" s="4" t="s">
        <v>118</v>
      </c>
      <c r="B295" s="4" t="s">
        <v>118</v>
      </c>
    </row>
    <row r="296" spans="1:2" x14ac:dyDescent="0.4">
      <c r="A296" s="4" t="s">
        <v>118</v>
      </c>
      <c r="B296" s="4" t="s">
        <v>118</v>
      </c>
    </row>
    <row r="297" spans="1:2" x14ac:dyDescent="0.4">
      <c r="A297" s="4" t="s">
        <v>118</v>
      </c>
      <c r="B297" s="4" t="s">
        <v>118</v>
      </c>
    </row>
    <row r="298" spans="1:2" x14ac:dyDescent="0.4">
      <c r="A298" s="4" t="s">
        <v>118</v>
      </c>
      <c r="B298" s="4" t="s">
        <v>118</v>
      </c>
    </row>
    <row r="299" spans="1:2" x14ac:dyDescent="0.4">
      <c r="A299" s="4" t="s">
        <v>118</v>
      </c>
      <c r="B299" s="4" t="s">
        <v>118</v>
      </c>
    </row>
    <row r="300" spans="1:2" x14ac:dyDescent="0.4">
      <c r="A300" s="4" t="s">
        <v>118</v>
      </c>
      <c r="B300" s="4" t="s">
        <v>118</v>
      </c>
    </row>
    <row r="301" spans="1:2" x14ac:dyDescent="0.4">
      <c r="A301" s="4" t="s">
        <v>118</v>
      </c>
      <c r="B301" s="4" t="s">
        <v>118</v>
      </c>
    </row>
    <row r="302" spans="1:2" x14ac:dyDescent="0.4">
      <c r="A302" s="4" t="s">
        <v>118</v>
      </c>
      <c r="B302" s="4" t="s">
        <v>118</v>
      </c>
    </row>
    <row r="303" spans="1:2" x14ac:dyDescent="0.4">
      <c r="A303" s="4" t="s">
        <v>118</v>
      </c>
      <c r="B303" s="4" t="s">
        <v>118</v>
      </c>
    </row>
    <row r="304" spans="1:2" x14ac:dyDescent="0.4">
      <c r="A304" s="4" t="s">
        <v>118</v>
      </c>
      <c r="B304" s="4" t="s">
        <v>118</v>
      </c>
    </row>
    <row r="305" spans="1:2" x14ac:dyDescent="0.4">
      <c r="A305" s="4" t="s">
        <v>118</v>
      </c>
      <c r="B305" s="4" t="s">
        <v>118</v>
      </c>
    </row>
    <row r="306" spans="1:2" x14ac:dyDescent="0.4">
      <c r="A306" s="4" t="s">
        <v>118</v>
      </c>
      <c r="B306" s="4" t="s">
        <v>118</v>
      </c>
    </row>
    <row r="307" spans="1:2" x14ac:dyDescent="0.4">
      <c r="A307" s="4" t="s">
        <v>118</v>
      </c>
      <c r="B307" s="4" t="s">
        <v>118</v>
      </c>
    </row>
    <row r="308" spans="1:2" x14ac:dyDescent="0.4">
      <c r="A308" s="4" t="s">
        <v>118</v>
      </c>
      <c r="B308" s="4" t="s">
        <v>118</v>
      </c>
    </row>
    <row r="309" spans="1:2" x14ac:dyDescent="0.4">
      <c r="A309" s="4" t="s">
        <v>118</v>
      </c>
      <c r="B309" s="4" t="s">
        <v>118</v>
      </c>
    </row>
    <row r="310" spans="1:2" x14ac:dyDescent="0.4">
      <c r="A310" s="4" t="s">
        <v>118</v>
      </c>
      <c r="B310" s="4" t="s">
        <v>118</v>
      </c>
    </row>
    <row r="311" spans="1:2" x14ac:dyDescent="0.4">
      <c r="A311" s="4" t="s">
        <v>118</v>
      </c>
      <c r="B311" s="4" t="s">
        <v>118</v>
      </c>
    </row>
    <row r="312" spans="1:2" x14ac:dyDescent="0.4">
      <c r="A312" s="4" t="s">
        <v>118</v>
      </c>
      <c r="B312" s="4" t="s">
        <v>118</v>
      </c>
    </row>
    <row r="313" spans="1:2" x14ac:dyDescent="0.4">
      <c r="A313" s="4" t="s">
        <v>118</v>
      </c>
      <c r="B313" s="4" t="s">
        <v>118</v>
      </c>
    </row>
    <row r="314" spans="1:2" x14ac:dyDescent="0.4">
      <c r="A314" s="4" t="s">
        <v>118</v>
      </c>
      <c r="B314" s="4" t="s">
        <v>118</v>
      </c>
    </row>
    <row r="315" spans="1:2" x14ac:dyDescent="0.4">
      <c r="A315" s="4" t="s">
        <v>118</v>
      </c>
      <c r="B315" s="4" t="s">
        <v>118</v>
      </c>
    </row>
    <row r="316" spans="1:2" x14ac:dyDescent="0.4">
      <c r="A316" s="4" t="s">
        <v>118</v>
      </c>
      <c r="B316" s="4" t="s">
        <v>118</v>
      </c>
    </row>
    <row r="317" spans="1:2" x14ac:dyDescent="0.4">
      <c r="A317" s="4" t="s">
        <v>118</v>
      </c>
      <c r="B317" s="4" t="s">
        <v>118</v>
      </c>
    </row>
    <row r="318" spans="1:2" x14ac:dyDescent="0.4">
      <c r="A318" s="4" t="s">
        <v>118</v>
      </c>
      <c r="B318" s="4" t="s">
        <v>118</v>
      </c>
    </row>
    <row r="319" spans="1:2" x14ac:dyDescent="0.4">
      <c r="A319" s="4" t="s">
        <v>118</v>
      </c>
      <c r="B319" s="4" t="s">
        <v>118</v>
      </c>
    </row>
    <row r="320" spans="1:2" x14ac:dyDescent="0.4">
      <c r="A320" s="4" t="s">
        <v>118</v>
      </c>
      <c r="B320" s="4" t="s">
        <v>118</v>
      </c>
    </row>
    <row r="321" spans="1:2" x14ac:dyDescent="0.4">
      <c r="A321" s="4" t="s">
        <v>118</v>
      </c>
      <c r="B321" s="4" t="s">
        <v>118</v>
      </c>
    </row>
    <row r="322" spans="1:2" x14ac:dyDescent="0.4">
      <c r="A322" s="4" t="s">
        <v>118</v>
      </c>
      <c r="B322" s="4" t="s">
        <v>118</v>
      </c>
    </row>
    <row r="323" spans="1:2" x14ac:dyDescent="0.4">
      <c r="A323" s="4" t="s">
        <v>118</v>
      </c>
      <c r="B323" s="4" t="s">
        <v>118</v>
      </c>
    </row>
    <row r="324" spans="1:2" x14ac:dyDescent="0.4">
      <c r="A324" s="4" t="s">
        <v>118</v>
      </c>
      <c r="B324" s="4" t="s">
        <v>118</v>
      </c>
    </row>
    <row r="325" spans="1:2" x14ac:dyDescent="0.4">
      <c r="A325" s="4" t="s">
        <v>118</v>
      </c>
      <c r="B325" s="4" t="s">
        <v>118</v>
      </c>
    </row>
    <row r="326" spans="1:2" x14ac:dyDescent="0.4">
      <c r="A326" s="4" t="s">
        <v>118</v>
      </c>
      <c r="B326" s="4" t="s">
        <v>118</v>
      </c>
    </row>
    <row r="327" spans="1:2" x14ac:dyDescent="0.4">
      <c r="A327" s="4" t="s">
        <v>118</v>
      </c>
      <c r="B327" s="4" t="s">
        <v>118</v>
      </c>
    </row>
    <row r="328" spans="1:2" x14ac:dyDescent="0.4">
      <c r="A328" s="4" t="s">
        <v>118</v>
      </c>
      <c r="B328" s="4" t="s">
        <v>118</v>
      </c>
    </row>
    <row r="329" spans="1:2" x14ac:dyDescent="0.4">
      <c r="A329" s="4" t="s">
        <v>118</v>
      </c>
      <c r="B329" s="4" t="s">
        <v>118</v>
      </c>
    </row>
    <row r="330" spans="1:2" x14ac:dyDescent="0.4">
      <c r="A330" s="4" t="s">
        <v>118</v>
      </c>
      <c r="B330" s="4" t="s">
        <v>118</v>
      </c>
    </row>
    <row r="331" spans="1:2" x14ac:dyDescent="0.4">
      <c r="A331" s="4" t="s">
        <v>118</v>
      </c>
      <c r="B331" s="4" t="s">
        <v>118</v>
      </c>
    </row>
    <row r="332" spans="1:2" x14ac:dyDescent="0.4">
      <c r="A332" s="4" t="s">
        <v>118</v>
      </c>
      <c r="B332" s="4" t="s">
        <v>118</v>
      </c>
    </row>
    <row r="333" spans="1:2" x14ac:dyDescent="0.4">
      <c r="A333" s="4" t="s">
        <v>118</v>
      </c>
      <c r="B333" s="4" t="s">
        <v>118</v>
      </c>
    </row>
    <row r="334" spans="1:2" x14ac:dyDescent="0.4">
      <c r="A334" s="4" t="s">
        <v>118</v>
      </c>
      <c r="B334" s="4" t="s">
        <v>118</v>
      </c>
    </row>
    <row r="335" spans="1:2" x14ac:dyDescent="0.4">
      <c r="A335" s="4" t="s">
        <v>118</v>
      </c>
      <c r="B335" s="4" t="s">
        <v>118</v>
      </c>
    </row>
    <row r="336" spans="1:2" x14ac:dyDescent="0.4">
      <c r="A336" s="4" t="s">
        <v>118</v>
      </c>
      <c r="B336" s="4" t="s">
        <v>118</v>
      </c>
    </row>
    <row r="337" spans="1:2" x14ac:dyDescent="0.4">
      <c r="A337" s="4" t="s">
        <v>118</v>
      </c>
      <c r="B337" s="4" t="s">
        <v>118</v>
      </c>
    </row>
    <row r="338" spans="1:2" x14ac:dyDescent="0.4">
      <c r="A338" s="4" t="s">
        <v>118</v>
      </c>
      <c r="B338" s="4" t="s">
        <v>118</v>
      </c>
    </row>
    <row r="339" spans="1:2" x14ac:dyDescent="0.4">
      <c r="A339" s="4" t="s">
        <v>118</v>
      </c>
      <c r="B339" s="4" t="s">
        <v>118</v>
      </c>
    </row>
    <row r="340" spans="1:2" x14ac:dyDescent="0.4">
      <c r="A340" s="4" t="s">
        <v>118</v>
      </c>
      <c r="B340" s="4" t="s">
        <v>118</v>
      </c>
    </row>
    <row r="341" spans="1:2" x14ac:dyDescent="0.4">
      <c r="A341" s="4" t="s">
        <v>118</v>
      </c>
      <c r="B341" s="4" t="s">
        <v>118</v>
      </c>
    </row>
    <row r="342" spans="1:2" x14ac:dyDescent="0.4">
      <c r="A342" s="4" t="s">
        <v>118</v>
      </c>
      <c r="B342" s="4" t="s">
        <v>118</v>
      </c>
    </row>
    <row r="343" spans="1:2" x14ac:dyDescent="0.4">
      <c r="A343" s="4" t="s">
        <v>118</v>
      </c>
      <c r="B343" s="4" t="s">
        <v>118</v>
      </c>
    </row>
    <row r="344" spans="1:2" x14ac:dyDescent="0.4">
      <c r="A344" s="4" t="s">
        <v>118</v>
      </c>
      <c r="B344" s="4" t="s">
        <v>118</v>
      </c>
    </row>
    <row r="345" spans="1:2" x14ac:dyDescent="0.4">
      <c r="A345" s="4" t="s">
        <v>118</v>
      </c>
      <c r="B345" s="4" t="s">
        <v>118</v>
      </c>
    </row>
    <row r="346" spans="1:2" x14ac:dyDescent="0.4">
      <c r="A346" s="4" t="s">
        <v>118</v>
      </c>
      <c r="B346" s="4" t="s">
        <v>118</v>
      </c>
    </row>
    <row r="347" spans="1:2" x14ac:dyDescent="0.4">
      <c r="A347" s="4" t="s">
        <v>118</v>
      </c>
      <c r="B347" s="4" t="s">
        <v>118</v>
      </c>
    </row>
    <row r="348" spans="1:2" x14ac:dyDescent="0.4">
      <c r="A348" s="4" t="s">
        <v>118</v>
      </c>
      <c r="B348" s="4" t="s">
        <v>118</v>
      </c>
    </row>
    <row r="349" spans="1:2" x14ac:dyDescent="0.4">
      <c r="A349" s="4" t="s">
        <v>118</v>
      </c>
      <c r="B349" s="4" t="s">
        <v>118</v>
      </c>
    </row>
    <row r="350" spans="1:2" x14ac:dyDescent="0.4">
      <c r="A350" s="4" t="s">
        <v>118</v>
      </c>
      <c r="B350" s="4" t="s">
        <v>118</v>
      </c>
    </row>
    <row r="351" spans="1:2" x14ac:dyDescent="0.4">
      <c r="A351" s="4" t="s">
        <v>118</v>
      </c>
      <c r="B351" s="4" t="s">
        <v>118</v>
      </c>
    </row>
    <row r="352" spans="1:2" x14ac:dyDescent="0.4">
      <c r="A352" s="4" t="s">
        <v>118</v>
      </c>
      <c r="B352" s="4" t="s">
        <v>118</v>
      </c>
    </row>
    <row r="353" spans="1:2" x14ac:dyDescent="0.4">
      <c r="A353" s="4" t="s">
        <v>118</v>
      </c>
      <c r="B353" s="4" t="s">
        <v>118</v>
      </c>
    </row>
    <row r="354" spans="1:2" x14ac:dyDescent="0.4">
      <c r="A354" s="4" t="s">
        <v>118</v>
      </c>
      <c r="B354" s="4" t="s">
        <v>118</v>
      </c>
    </row>
    <row r="355" spans="1:2" x14ac:dyDescent="0.4">
      <c r="A355" s="4" t="s">
        <v>118</v>
      </c>
      <c r="B355" s="4" t="s">
        <v>118</v>
      </c>
    </row>
    <row r="356" spans="1:2" x14ac:dyDescent="0.4">
      <c r="A356" s="4" t="s">
        <v>118</v>
      </c>
      <c r="B356" s="4" t="s">
        <v>118</v>
      </c>
    </row>
    <row r="357" spans="1:2" x14ac:dyDescent="0.4">
      <c r="A357" s="4" t="s">
        <v>118</v>
      </c>
      <c r="B357" s="4" t="s">
        <v>118</v>
      </c>
    </row>
    <row r="358" spans="1:2" x14ac:dyDescent="0.4">
      <c r="A358" s="4" t="s">
        <v>118</v>
      </c>
      <c r="B358" s="4" t="s">
        <v>118</v>
      </c>
    </row>
    <row r="359" spans="1:2" x14ac:dyDescent="0.4">
      <c r="A359" s="4" t="s">
        <v>118</v>
      </c>
      <c r="B359" s="4" t="s">
        <v>118</v>
      </c>
    </row>
    <row r="360" spans="1:2" x14ac:dyDescent="0.4">
      <c r="A360" s="4" t="s">
        <v>118</v>
      </c>
      <c r="B360" s="4" t="s">
        <v>118</v>
      </c>
    </row>
    <row r="361" spans="1:2" x14ac:dyDescent="0.4">
      <c r="A361" s="4" t="s">
        <v>118</v>
      </c>
      <c r="B361" s="4" t="s">
        <v>118</v>
      </c>
    </row>
    <row r="362" spans="1:2" x14ac:dyDescent="0.4">
      <c r="A362" s="4" t="s">
        <v>118</v>
      </c>
      <c r="B362" s="4" t="s">
        <v>118</v>
      </c>
    </row>
    <row r="363" spans="1:2" x14ac:dyDescent="0.4">
      <c r="A363" s="4" t="s">
        <v>118</v>
      </c>
      <c r="B363" s="4" t="s">
        <v>118</v>
      </c>
    </row>
    <row r="364" spans="1:2" x14ac:dyDescent="0.4">
      <c r="A364" s="4" t="s">
        <v>118</v>
      </c>
      <c r="B364" s="4" t="s">
        <v>118</v>
      </c>
    </row>
    <row r="365" spans="1:2" x14ac:dyDescent="0.4">
      <c r="A365" s="4" t="s">
        <v>118</v>
      </c>
      <c r="B365" s="4" t="s">
        <v>118</v>
      </c>
    </row>
    <row r="366" spans="1:2" x14ac:dyDescent="0.4">
      <c r="A366" s="4" t="s">
        <v>118</v>
      </c>
      <c r="B366" s="4" t="s">
        <v>118</v>
      </c>
    </row>
    <row r="367" spans="1:2" x14ac:dyDescent="0.4">
      <c r="A367" s="4" t="s">
        <v>118</v>
      </c>
      <c r="B367" s="4" t="s">
        <v>118</v>
      </c>
    </row>
    <row r="368" spans="1:2" x14ac:dyDescent="0.4">
      <c r="A368" s="4" t="s">
        <v>118</v>
      </c>
      <c r="B368" s="4" t="s">
        <v>118</v>
      </c>
    </row>
    <row r="369" spans="1:2" x14ac:dyDescent="0.4">
      <c r="A369" s="4" t="s">
        <v>118</v>
      </c>
      <c r="B369" s="4" t="s">
        <v>118</v>
      </c>
    </row>
    <row r="370" spans="1:2" x14ac:dyDescent="0.4">
      <c r="A370" s="4" t="s">
        <v>118</v>
      </c>
      <c r="B370" s="4" t="s">
        <v>118</v>
      </c>
    </row>
    <row r="371" spans="1:2" x14ac:dyDescent="0.4">
      <c r="A371" s="4" t="s">
        <v>118</v>
      </c>
      <c r="B371" s="4" t="s">
        <v>118</v>
      </c>
    </row>
    <row r="372" spans="1:2" x14ac:dyDescent="0.4">
      <c r="A372" s="4" t="s">
        <v>118</v>
      </c>
      <c r="B372" s="4" t="s">
        <v>118</v>
      </c>
    </row>
    <row r="373" spans="1:2" x14ac:dyDescent="0.4">
      <c r="A373" s="4" t="s">
        <v>118</v>
      </c>
      <c r="B373" s="4" t="s">
        <v>118</v>
      </c>
    </row>
    <row r="374" spans="1:2" x14ac:dyDescent="0.4">
      <c r="A374" s="4" t="s">
        <v>118</v>
      </c>
      <c r="B374" s="4" t="s">
        <v>118</v>
      </c>
    </row>
    <row r="375" spans="1:2" x14ac:dyDescent="0.4">
      <c r="A375" s="4" t="s">
        <v>118</v>
      </c>
      <c r="B375" s="4" t="s">
        <v>118</v>
      </c>
    </row>
    <row r="376" spans="1:2" x14ac:dyDescent="0.4">
      <c r="A376" s="4" t="s">
        <v>118</v>
      </c>
      <c r="B376" s="4" t="s">
        <v>118</v>
      </c>
    </row>
    <row r="377" spans="1:2" x14ac:dyDescent="0.4">
      <c r="A377" s="4" t="s">
        <v>118</v>
      </c>
      <c r="B377" s="4" t="s">
        <v>118</v>
      </c>
    </row>
    <row r="378" spans="1:2" x14ac:dyDescent="0.4">
      <c r="A378" s="4" t="s">
        <v>118</v>
      </c>
      <c r="B378" s="4" t="s">
        <v>118</v>
      </c>
    </row>
    <row r="379" spans="1:2" x14ac:dyDescent="0.4">
      <c r="A379" s="4" t="s">
        <v>118</v>
      </c>
      <c r="B379" s="4" t="s">
        <v>118</v>
      </c>
    </row>
    <row r="380" spans="1:2" x14ac:dyDescent="0.4">
      <c r="A380" s="4" t="s">
        <v>118</v>
      </c>
      <c r="B380" s="4" t="s">
        <v>118</v>
      </c>
    </row>
    <row r="381" spans="1:2" x14ac:dyDescent="0.4">
      <c r="A381" s="4" t="s">
        <v>118</v>
      </c>
      <c r="B381" s="4" t="s">
        <v>118</v>
      </c>
    </row>
    <row r="382" spans="1:2" x14ac:dyDescent="0.4">
      <c r="A382" s="4" t="s">
        <v>118</v>
      </c>
      <c r="B382" s="4" t="s">
        <v>118</v>
      </c>
    </row>
    <row r="383" spans="1:2" x14ac:dyDescent="0.4">
      <c r="A383" s="4" t="s">
        <v>118</v>
      </c>
      <c r="B383" s="4" t="s">
        <v>118</v>
      </c>
    </row>
    <row r="384" spans="1:2" x14ac:dyDescent="0.4">
      <c r="A384" s="4" t="s">
        <v>118</v>
      </c>
      <c r="B384" s="4" t="s">
        <v>118</v>
      </c>
    </row>
    <row r="385" spans="1:2" x14ac:dyDescent="0.4">
      <c r="A385" s="4" t="s">
        <v>118</v>
      </c>
      <c r="B385" s="4" t="s">
        <v>118</v>
      </c>
    </row>
    <row r="386" spans="1:2" x14ac:dyDescent="0.4">
      <c r="A386" s="4" t="s">
        <v>118</v>
      </c>
      <c r="B386" s="4" t="s">
        <v>118</v>
      </c>
    </row>
    <row r="387" spans="1:2" x14ac:dyDescent="0.4">
      <c r="A387" s="4" t="s">
        <v>118</v>
      </c>
      <c r="B387" s="4" t="s">
        <v>118</v>
      </c>
    </row>
    <row r="388" spans="1:2" x14ac:dyDescent="0.4">
      <c r="A388" s="4" t="s">
        <v>118</v>
      </c>
      <c r="B388" s="4" t="s">
        <v>118</v>
      </c>
    </row>
    <row r="389" spans="1:2" x14ac:dyDescent="0.4">
      <c r="A389" s="4" t="s">
        <v>118</v>
      </c>
      <c r="B389" s="4" t="s">
        <v>118</v>
      </c>
    </row>
    <row r="390" spans="1:2" x14ac:dyDescent="0.4">
      <c r="A390" s="4" t="s">
        <v>118</v>
      </c>
      <c r="B390" s="4" t="s">
        <v>118</v>
      </c>
    </row>
    <row r="391" spans="1:2" x14ac:dyDescent="0.4">
      <c r="A391" s="4" t="s">
        <v>118</v>
      </c>
      <c r="B391" s="4" t="s">
        <v>118</v>
      </c>
    </row>
    <row r="392" spans="1:2" x14ac:dyDescent="0.4">
      <c r="A392" s="4" t="s">
        <v>118</v>
      </c>
      <c r="B392" s="4" t="s">
        <v>118</v>
      </c>
    </row>
    <row r="393" spans="1:2" x14ac:dyDescent="0.4">
      <c r="A393" s="4" t="s">
        <v>118</v>
      </c>
      <c r="B393" s="4" t="s">
        <v>118</v>
      </c>
    </row>
    <row r="394" spans="1:2" x14ac:dyDescent="0.4">
      <c r="A394" s="4" t="s">
        <v>118</v>
      </c>
      <c r="B394" s="4" t="s">
        <v>118</v>
      </c>
    </row>
    <row r="395" spans="1:2" x14ac:dyDescent="0.4">
      <c r="A395" s="4" t="s">
        <v>118</v>
      </c>
      <c r="B395" s="4" t="s">
        <v>118</v>
      </c>
    </row>
    <row r="396" spans="1:2" x14ac:dyDescent="0.4">
      <c r="A396" s="4" t="s">
        <v>118</v>
      </c>
      <c r="B396" s="4" t="s">
        <v>118</v>
      </c>
    </row>
    <row r="397" spans="1:2" x14ac:dyDescent="0.4">
      <c r="A397" s="4" t="s">
        <v>118</v>
      </c>
      <c r="B397" s="4" t="s">
        <v>118</v>
      </c>
    </row>
    <row r="398" spans="1:2" x14ac:dyDescent="0.4">
      <c r="A398" s="4" t="s">
        <v>118</v>
      </c>
      <c r="B398" s="4" t="s">
        <v>118</v>
      </c>
    </row>
    <row r="399" spans="1:2" x14ac:dyDescent="0.4">
      <c r="A399" s="4" t="s">
        <v>118</v>
      </c>
      <c r="B399" s="4" t="s">
        <v>118</v>
      </c>
    </row>
    <row r="400" spans="1:2" x14ac:dyDescent="0.4">
      <c r="A400" s="4" t="s">
        <v>118</v>
      </c>
      <c r="B400" s="4" t="s">
        <v>118</v>
      </c>
    </row>
    <row r="401" spans="1:2" x14ac:dyDescent="0.4">
      <c r="A401" s="4" t="s">
        <v>118</v>
      </c>
      <c r="B401" s="4" t="s">
        <v>118</v>
      </c>
    </row>
    <row r="402" spans="1:2" x14ac:dyDescent="0.4">
      <c r="A402" s="4" t="s">
        <v>118</v>
      </c>
      <c r="B402" s="4" t="s">
        <v>118</v>
      </c>
    </row>
    <row r="403" spans="1:2" x14ac:dyDescent="0.4">
      <c r="A403" s="4" t="s">
        <v>118</v>
      </c>
      <c r="B403" s="4" t="s">
        <v>118</v>
      </c>
    </row>
    <row r="404" spans="1:2" x14ac:dyDescent="0.4">
      <c r="A404" s="4" t="s">
        <v>118</v>
      </c>
      <c r="B404" s="4" t="s">
        <v>118</v>
      </c>
    </row>
    <row r="405" spans="1:2" x14ac:dyDescent="0.4">
      <c r="A405" s="4" t="s">
        <v>118</v>
      </c>
      <c r="B405" s="4" t="s">
        <v>118</v>
      </c>
    </row>
    <row r="406" spans="1:2" x14ac:dyDescent="0.4">
      <c r="A406" s="4" t="s">
        <v>118</v>
      </c>
      <c r="B406" s="4" t="s">
        <v>118</v>
      </c>
    </row>
    <row r="407" spans="1:2" x14ac:dyDescent="0.4">
      <c r="A407" s="4" t="s">
        <v>118</v>
      </c>
      <c r="B407" s="4" t="s">
        <v>118</v>
      </c>
    </row>
    <row r="408" spans="1:2" x14ac:dyDescent="0.4">
      <c r="A408" s="4" t="s">
        <v>118</v>
      </c>
      <c r="B408" s="4" t="s">
        <v>118</v>
      </c>
    </row>
    <row r="409" spans="1:2" x14ac:dyDescent="0.4">
      <c r="A409" s="4" t="s">
        <v>118</v>
      </c>
      <c r="B409" s="4" t="s">
        <v>118</v>
      </c>
    </row>
    <row r="410" spans="1:2" x14ac:dyDescent="0.4">
      <c r="A410" s="4" t="s">
        <v>118</v>
      </c>
      <c r="B410" s="4" t="s">
        <v>118</v>
      </c>
    </row>
    <row r="411" spans="1:2" x14ac:dyDescent="0.4">
      <c r="A411" s="4" t="s">
        <v>118</v>
      </c>
      <c r="B411" s="4" t="s">
        <v>118</v>
      </c>
    </row>
    <row r="412" spans="1:2" x14ac:dyDescent="0.4">
      <c r="A412" s="4" t="s">
        <v>118</v>
      </c>
      <c r="B412" s="4" t="s">
        <v>118</v>
      </c>
    </row>
    <row r="413" spans="1:2" x14ac:dyDescent="0.4">
      <c r="A413" s="4" t="s">
        <v>118</v>
      </c>
      <c r="B413" s="4" t="s">
        <v>118</v>
      </c>
    </row>
    <row r="414" spans="1:2" x14ac:dyDescent="0.4">
      <c r="A414" s="4" t="s">
        <v>118</v>
      </c>
      <c r="B414" s="4" t="s">
        <v>118</v>
      </c>
    </row>
    <row r="415" spans="1:2" x14ac:dyDescent="0.4">
      <c r="A415" s="4" t="s">
        <v>118</v>
      </c>
      <c r="B415" s="4" t="s">
        <v>118</v>
      </c>
    </row>
    <row r="416" spans="1:2" x14ac:dyDescent="0.4">
      <c r="A416" s="4" t="s">
        <v>118</v>
      </c>
      <c r="B416" s="4" t="s">
        <v>118</v>
      </c>
    </row>
    <row r="417" spans="1:2" x14ac:dyDescent="0.4">
      <c r="A417" s="4" t="s">
        <v>118</v>
      </c>
      <c r="B417" s="4" t="s">
        <v>118</v>
      </c>
    </row>
    <row r="418" spans="1:2" x14ac:dyDescent="0.4">
      <c r="A418" s="4" t="s">
        <v>118</v>
      </c>
      <c r="B418" s="4" t="s">
        <v>118</v>
      </c>
    </row>
    <row r="419" spans="1:2" x14ac:dyDescent="0.4">
      <c r="A419" s="4" t="s">
        <v>118</v>
      </c>
      <c r="B419" s="4" t="s">
        <v>118</v>
      </c>
    </row>
    <row r="420" spans="1:2" x14ac:dyDescent="0.4">
      <c r="A420" s="4" t="s">
        <v>118</v>
      </c>
      <c r="B420" s="4" t="s">
        <v>118</v>
      </c>
    </row>
    <row r="421" spans="1:2" x14ac:dyDescent="0.4">
      <c r="A421" s="4" t="s">
        <v>118</v>
      </c>
      <c r="B421" s="4" t="s">
        <v>118</v>
      </c>
    </row>
    <row r="422" spans="1:2" x14ac:dyDescent="0.4">
      <c r="A422" s="4" t="s">
        <v>118</v>
      </c>
      <c r="B422" s="4" t="s">
        <v>118</v>
      </c>
    </row>
    <row r="423" spans="1:2" x14ac:dyDescent="0.4">
      <c r="A423" s="4" t="s">
        <v>118</v>
      </c>
      <c r="B423" s="4" t="s">
        <v>118</v>
      </c>
    </row>
    <row r="424" spans="1:2" x14ac:dyDescent="0.4">
      <c r="A424" s="4" t="s">
        <v>118</v>
      </c>
      <c r="B424" s="4" t="s">
        <v>118</v>
      </c>
    </row>
    <row r="425" spans="1:2" x14ac:dyDescent="0.4">
      <c r="A425" s="4" t="s">
        <v>118</v>
      </c>
      <c r="B425" s="4" t="s">
        <v>118</v>
      </c>
    </row>
    <row r="426" spans="1:2" x14ac:dyDescent="0.4">
      <c r="A426" s="4" t="s">
        <v>118</v>
      </c>
      <c r="B426" s="4" t="s">
        <v>118</v>
      </c>
    </row>
    <row r="427" spans="1:2" x14ac:dyDescent="0.4">
      <c r="A427" s="4" t="s">
        <v>118</v>
      </c>
      <c r="B427" s="4" t="s">
        <v>118</v>
      </c>
    </row>
    <row r="428" spans="1:2" x14ac:dyDescent="0.4">
      <c r="A428" s="4" t="s">
        <v>118</v>
      </c>
      <c r="B428" s="4" t="s">
        <v>118</v>
      </c>
    </row>
    <row r="429" spans="1:2" x14ac:dyDescent="0.4">
      <c r="A429" s="4" t="s">
        <v>118</v>
      </c>
      <c r="B429" s="4" t="s">
        <v>118</v>
      </c>
    </row>
    <row r="430" spans="1:2" x14ac:dyDescent="0.4">
      <c r="A430" s="4" t="s">
        <v>118</v>
      </c>
      <c r="B430" s="4" t="s">
        <v>118</v>
      </c>
    </row>
    <row r="431" spans="1:2" x14ac:dyDescent="0.4">
      <c r="A431" s="4" t="s">
        <v>118</v>
      </c>
      <c r="B431" s="4" t="s">
        <v>118</v>
      </c>
    </row>
    <row r="432" spans="1:2" x14ac:dyDescent="0.4">
      <c r="A432" s="4" t="s">
        <v>118</v>
      </c>
      <c r="B432" s="4" t="s">
        <v>118</v>
      </c>
    </row>
    <row r="433" spans="1:2" x14ac:dyDescent="0.4">
      <c r="A433" s="4" t="s">
        <v>118</v>
      </c>
      <c r="B433" s="4" t="s">
        <v>118</v>
      </c>
    </row>
    <row r="434" spans="1:2" x14ac:dyDescent="0.4">
      <c r="A434" s="4" t="s">
        <v>118</v>
      </c>
      <c r="B434" s="4" t="s">
        <v>118</v>
      </c>
    </row>
    <row r="435" spans="1:2" x14ac:dyDescent="0.4">
      <c r="A435" s="4" t="s">
        <v>118</v>
      </c>
      <c r="B435" s="4" t="s">
        <v>118</v>
      </c>
    </row>
    <row r="436" spans="1:2" x14ac:dyDescent="0.4">
      <c r="A436" s="4" t="s">
        <v>118</v>
      </c>
      <c r="B436" s="4" t="s">
        <v>118</v>
      </c>
    </row>
    <row r="437" spans="1:2" x14ac:dyDescent="0.4">
      <c r="A437" s="4" t="s">
        <v>118</v>
      </c>
      <c r="B437" s="4" t="s">
        <v>118</v>
      </c>
    </row>
    <row r="438" spans="1:2" x14ac:dyDescent="0.4">
      <c r="A438" s="4" t="s">
        <v>118</v>
      </c>
      <c r="B438" s="4" t="s">
        <v>118</v>
      </c>
    </row>
    <row r="439" spans="1:2" x14ac:dyDescent="0.4">
      <c r="A439" s="4" t="s">
        <v>118</v>
      </c>
      <c r="B439" s="4" t="s">
        <v>118</v>
      </c>
    </row>
    <row r="440" spans="1:2" x14ac:dyDescent="0.4">
      <c r="A440" s="4" t="s">
        <v>118</v>
      </c>
      <c r="B440" s="4" t="s">
        <v>118</v>
      </c>
    </row>
    <row r="441" spans="1:2" x14ac:dyDescent="0.4">
      <c r="A441" s="4" t="s">
        <v>118</v>
      </c>
      <c r="B441" s="4" t="s">
        <v>118</v>
      </c>
    </row>
    <row r="442" spans="1:2" x14ac:dyDescent="0.4">
      <c r="A442" s="4" t="s">
        <v>118</v>
      </c>
      <c r="B442" s="4" t="s">
        <v>118</v>
      </c>
    </row>
    <row r="443" spans="1:2" x14ac:dyDescent="0.4">
      <c r="A443" s="4" t="s">
        <v>118</v>
      </c>
      <c r="B443" s="4" t="s">
        <v>118</v>
      </c>
    </row>
    <row r="444" spans="1:2" x14ac:dyDescent="0.4">
      <c r="A444" s="4" t="s">
        <v>118</v>
      </c>
      <c r="B444" s="4" t="s">
        <v>118</v>
      </c>
    </row>
    <row r="445" spans="1:2" x14ac:dyDescent="0.4">
      <c r="A445" s="4" t="s">
        <v>118</v>
      </c>
      <c r="B445" s="4" t="s">
        <v>118</v>
      </c>
    </row>
    <row r="446" spans="1:2" x14ac:dyDescent="0.4">
      <c r="A446" s="4" t="s">
        <v>118</v>
      </c>
      <c r="B446" s="4" t="s">
        <v>118</v>
      </c>
    </row>
    <row r="447" spans="1:2" x14ac:dyDescent="0.4">
      <c r="A447" s="4" t="s">
        <v>118</v>
      </c>
      <c r="B447" s="4" t="s">
        <v>118</v>
      </c>
    </row>
    <row r="448" spans="1:2" x14ac:dyDescent="0.4">
      <c r="A448" s="4" t="s">
        <v>118</v>
      </c>
      <c r="B448" s="4" t="s">
        <v>118</v>
      </c>
    </row>
    <row r="449" spans="1:2" x14ac:dyDescent="0.4">
      <c r="A449" s="4" t="s">
        <v>118</v>
      </c>
      <c r="B449" s="4" t="s">
        <v>118</v>
      </c>
    </row>
    <row r="450" spans="1:2" x14ac:dyDescent="0.4">
      <c r="A450" s="4" t="s">
        <v>118</v>
      </c>
      <c r="B450" s="4" t="s">
        <v>118</v>
      </c>
    </row>
    <row r="451" spans="1:2" x14ac:dyDescent="0.4">
      <c r="A451" s="4" t="s">
        <v>118</v>
      </c>
      <c r="B451" s="4" t="s">
        <v>118</v>
      </c>
    </row>
    <row r="452" spans="1:2" x14ac:dyDescent="0.4">
      <c r="A452" s="4" t="s">
        <v>118</v>
      </c>
      <c r="B452" s="4" t="s">
        <v>118</v>
      </c>
    </row>
    <row r="453" spans="1:2" x14ac:dyDescent="0.4">
      <c r="A453" s="4" t="s">
        <v>118</v>
      </c>
      <c r="B453" s="4" t="s">
        <v>118</v>
      </c>
    </row>
    <row r="454" spans="1:2" x14ac:dyDescent="0.4">
      <c r="A454" s="4" t="s">
        <v>118</v>
      </c>
      <c r="B454" s="4" t="s">
        <v>118</v>
      </c>
    </row>
    <row r="455" spans="1:2" x14ac:dyDescent="0.4">
      <c r="A455" s="4" t="s">
        <v>118</v>
      </c>
      <c r="B455" s="4" t="s">
        <v>118</v>
      </c>
    </row>
    <row r="456" spans="1:2" x14ac:dyDescent="0.4">
      <c r="A456" s="4" t="s">
        <v>118</v>
      </c>
      <c r="B456" s="4" t="s">
        <v>118</v>
      </c>
    </row>
    <row r="457" spans="1:2" x14ac:dyDescent="0.4">
      <c r="A457" s="4" t="s">
        <v>118</v>
      </c>
      <c r="B457" s="4" t="s">
        <v>118</v>
      </c>
    </row>
    <row r="458" spans="1:2" x14ac:dyDescent="0.4">
      <c r="A458" s="4" t="s">
        <v>118</v>
      </c>
      <c r="B458" s="4" t="s">
        <v>118</v>
      </c>
    </row>
    <row r="459" spans="1:2" x14ac:dyDescent="0.4">
      <c r="A459" s="4" t="s">
        <v>118</v>
      </c>
      <c r="B459" s="4" t="s">
        <v>118</v>
      </c>
    </row>
    <row r="460" spans="1:2" x14ac:dyDescent="0.4">
      <c r="A460" s="4" t="s">
        <v>118</v>
      </c>
      <c r="B460" s="4" t="s">
        <v>118</v>
      </c>
    </row>
    <row r="461" spans="1:2" x14ac:dyDescent="0.4">
      <c r="A461" s="4" t="s">
        <v>118</v>
      </c>
      <c r="B461" s="4" t="s">
        <v>118</v>
      </c>
    </row>
    <row r="462" spans="1:2" x14ac:dyDescent="0.4">
      <c r="A462" s="4" t="s">
        <v>118</v>
      </c>
      <c r="B462" s="4" t="s">
        <v>118</v>
      </c>
    </row>
    <row r="463" spans="1:2" x14ac:dyDescent="0.4">
      <c r="A463" s="4" t="s">
        <v>118</v>
      </c>
      <c r="B463" s="4" t="s">
        <v>118</v>
      </c>
    </row>
    <row r="464" spans="1:2" x14ac:dyDescent="0.4">
      <c r="A464" s="4" t="s">
        <v>118</v>
      </c>
      <c r="B464" s="4" t="s">
        <v>118</v>
      </c>
    </row>
    <row r="465" spans="1:2" x14ac:dyDescent="0.4">
      <c r="A465" s="4" t="s">
        <v>118</v>
      </c>
      <c r="B465" s="4" t="s">
        <v>118</v>
      </c>
    </row>
    <row r="466" spans="1:2" x14ac:dyDescent="0.4">
      <c r="A466" s="4" t="s">
        <v>118</v>
      </c>
      <c r="B466" s="4" t="s">
        <v>118</v>
      </c>
    </row>
    <row r="467" spans="1:2" x14ac:dyDescent="0.4">
      <c r="A467" s="4" t="s">
        <v>118</v>
      </c>
      <c r="B467" s="4" t="s">
        <v>118</v>
      </c>
    </row>
    <row r="468" spans="1:2" x14ac:dyDescent="0.4">
      <c r="A468" s="4" t="s">
        <v>118</v>
      </c>
      <c r="B468" s="4" t="s">
        <v>118</v>
      </c>
    </row>
    <row r="469" spans="1:2" x14ac:dyDescent="0.4">
      <c r="A469" s="4" t="s">
        <v>118</v>
      </c>
      <c r="B469" s="4" t="s">
        <v>118</v>
      </c>
    </row>
    <row r="470" spans="1:2" x14ac:dyDescent="0.4">
      <c r="A470" s="4" t="s">
        <v>118</v>
      </c>
      <c r="B470" s="4" t="s">
        <v>118</v>
      </c>
    </row>
    <row r="471" spans="1:2" x14ac:dyDescent="0.4">
      <c r="A471" s="4" t="s">
        <v>118</v>
      </c>
      <c r="B471" s="4" t="s">
        <v>118</v>
      </c>
    </row>
    <row r="472" spans="1:2" x14ac:dyDescent="0.4">
      <c r="A472" s="4" t="s">
        <v>118</v>
      </c>
      <c r="B472" s="4" t="s">
        <v>118</v>
      </c>
    </row>
    <row r="473" spans="1:2" x14ac:dyDescent="0.4">
      <c r="A473" s="4" t="s">
        <v>118</v>
      </c>
      <c r="B473" s="4" t="s">
        <v>118</v>
      </c>
    </row>
    <row r="474" spans="1:2" x14ac:dyDescent="0.4">
      <c r="A474" s="4" t="s">
        <v>118</v>
      </c>
      <c r="B474" s="4" t="s">
        <v>118</v>
      </c>
    </row>
    <row r="475" spans="1:2" x14ac:dyDescent="0.4">
      <c r="A475" s="4" t="s">
        <v>118</v>
      </c>
      <c r="B475" s="4" t="s">
        <v>118</v>
      </c>
    </row>
    <row r="476" spans="1:2" x14ac:dyDescent="0.4">
      <c r="A476" s="4" t="s">
        <v>118</v>
      </c>
      <c r="B476" s="4" t="s">
        <v>118</v>
      </c>
    </row>
    <row r="477" spans="1:2" x14ac:dyDescent="0.4">
      <c r="A477" s="4" t="s">
        <v>118</v>
      </c>
      <c r="B477" s="4" t="s">
        <v>118</v>
      </c>
    </row>
    <row r="478" spans="1:2" x14ac:dyDescent="0.4">
      <c r="A478" s="4" t="s">
        <v>118</v>
      </c>
      <c r="B478" s="4" t="s">
        <v>118</v>
      </c>
    </row>
    <row r="479" spans="1:2" x14ac:dyDescent="0.4">
      <c r="A479" s="4" t="s">
        <v>118</v>
      </c>
      <c r="B479" s="4" t="s">
        <v>118</v>
      </c>
    </row>
    <row r="480" spans="1:2" x14ac:dyDescent="0.4">
      <c r="A480" s="4" t="s">
        <v>118</v>
      </c>
      <c r="B480" s="4" t="s">
        <v>118</v>
      </c>
    </row>
    <row r="481" spans="1:2" x14ac:dyDescent="0.4">
      <c r="A481" s="4" t="s">
        <v>118</v>
      </c>
      <c r="B481" s="4" t="s">
        <v>118</v>
      </c>
    </row>
    <row r="482" spans="1:2" x14ac:dyDescent="0.4">
      <c r="A482" s="4" t="s">
        <v>118</v>
      </c>
      <c r="B482" s="4" t="s">
        <v>118</v>
      </c>
    </row>
    <row r="483" spans="1:2" x14ac:dyDescent="0.4">
      <c r="A483" s="4" t="s">
        <v>118</v>
      </c>
      <c r="B483" s="4" t="s">
        <v>118</v>
      </c>
    </row>
    <row r="484" spans="1:2" x14ac:dyDescent="0.4">
      <c r="A484" s="4" t="s">
        <v>118</v>
      </c>
      <c r="B484" s="4" t="s">
        <v>118</v>
      </c>
    </row>
    <row r="485" spans="1:2" x14ac:dyDescent="0.4">
      <c r="A485" s="4" t="s">
        <v>118</v>
      </c>
      <c r="B485" s="4" t="s">
        <v>118</v>
      </c>
    </row>
    <row r="486" spans="1:2" x14ac:dyDescent="0.4">
      <c r="A486" s="4" t="s">
        <v>118</v>
      </c>
      <c r="B486" s="4" t="s">
        <v>118</v>
      </c>
    </row>
    <row r="487" spans="1:2" x14ac:dyDescent="0.4">
      <c r="A487" s="4" t="s">
        <v>118</v>
      </c>
      <c r="B487" s="4" t="s">
        <v>118</v>
      </c>
    </row>
    <row r="488" spans="1:2" x14ac:dyDescent="0.4">
      <c r="A488" s="4" t="s">
        <v>118</v>
      </c>
      <c r="B488" s="4" t="s">
        <v>118</v>
      </c>
    </row>
    <row r="489" spans="1:2" x14ac:dyDescent="0.4">
      <c r="A489" s="4" t="s">
        <v>118</v>
      </c>
      <c r="B489" s="4" t="s">
        <v>118</v>
      </c>
    </row>
    <row r="490" spans="1:2" x14ac:dyDescent="0.4">
      <c r="A490" s="4" t="s">
        <v>118</v>
      </c>
      <c r="B490" s="4" t="s">
        <v>118</v>
      </c>
    </row>
    <row r="491" spans="1:2" x14ac:dyDescent="0.4">
      <c r="A491" s="4" t="s">
        <v>118</v>
      </c>
      <c r="B491" s="4" t="s">
        <v>118</v>
      </c>
    </row>
    <row r="492" spans="1:2" x14ac:dyDescent="0.4">
      <c r="A492" s="4" t="s">
        <v>118</v>
      </c>
      <c r="B492" s="4" t="s">
        <v>118</v>
      </c>
    </row>
    <row r="493" spans="1:2" x14ac:dyDescent="0.4">
      <c r="A493" s="4" t="s">
        <v>118</v>
      </c>
      <c r="B493" s="4" t="s">
        <v>118</v>
      </c>
    </row>
    <row r="494" spans="1:2" x14ac:dyDescent="0.4">
      <c r="A494" s="4" t="s">
        <v>118</v>
      </c>
      <c r="B494" s="4" t="s">
        <v>118</v>
      </c>
    </row>
    <row r="495" spans="1:2" x14ac:dyDescent="0.4">
      <c r="A495" s="4" t="s">
        <v>118</v>
      </c>
      <c r="B495" s="4" t="s">
        <v>118</v>
      </c>
    </row>
    <row r="496" spans="1:2" x14ac:dyDescent="0.4">
      <c r="A496" s="4" t="s">
        <v>118</v>
      </c>
      <c r="B496" s="4" t="s">
        <v>118</v>
      </c>
    </row>
    <row r="497" spans="1:2" x14ac:dyDescent="0.4">
      <c r="A497" s="4" t="s">
        <v>118</v>
      </c>
      <c r="B497" s="4" t="s">
        <v>118</v>
      </c>
    </row>
    <row r="498" spans="1:2" x14ac:dyDescent="0.4">
      <c r="A498" s="4" t="s">
        <v>118</v>
      </c>
      <c r="B498" s="4" t="s">
        <v>118</v>
      </c>
    </row>
    <row r="499" spans="1:2" x14ac:dyDescent="0.4">
      <c r="A499" s="4" t="s">
        <v>118</v>
      </c>
      <c r="B499" s="4" t="s">
        <v>118</v>
      </c>
    </row>
    <row r="500" spans="1:2" x14ac:dyDescent="0.4">
      <c r="A500" s="4" t="s">
        <v>118</v>
      </c>
      <c r="B500" s="4" t="s">
        <v>118</v>
      </c>
    </row>
    <row r="501" spans="1:2" x14ac:dyDescent="0.4">
      <c r="A501" s="4" t="s">
        <v>118</v>
      </c>
      <c r="B501" s="4" t="s">
        <v>118</v>
      </c>
    </row>
    <row r="502" spans="1:2" x14ac:dyDescent="0.4">
      <c r="A502" s="4" t="s">
        <v>118</v>
      </c>
      <c r="B502" s="4" t="s">
        <v>118</v>
      </c>
    </row>
    <row r="503" spans="1:2" x14ac:dyDescent="0.4">
      <c r="A503" s="4" t="s">
        <v>118</v>
      </c>
      <c r="B503" s="4" t="s">
        <v>118</v>
      </c>
    </row>
    <row r="504" spans="1:2" x14ac:dyDescent="0.4">
      <c r="A504" s="4" t="s">
        <v>118</v>
      </c>
      <c r="B504" s="4" t="s">
        <v>118</v>
      </c>
    </row>
    <row r="505" spans="1:2" x14ac:dyDescent="0.4">
      <c r="A505" s="4" t="s">
        <v>118</v>
      </c>
      <c r="B505" s="4" t="s">
        <v>118</v>
      </c>
    </row>
    <row r="506" spans="1:2" x14ac:dyDescent="0.4">
      <c r="A506" s="4" t="s">
        <v>118</v>
      </c>
      <c r="B506" s="4" t="s">
        <v>118</v>
      </c>
    </row>
    <row r="507" spans="1:2" x14ac:dyDescent="0.4">
      <c r="A507" s="4" t="s">
        <v>118</v>
      </c>
      <c r="B507" s="4" t="s">
        <v>118</v>
      </c>
    </row>
    <row r="508" spans="1:2" x14ac:dyDescent="0.4">
      <c r="A508" s="4" t="s">
        <v>118</v>
      </c>
      <c r="B508" s="4" t="s">
        <v>118</v>
      </c>
    </row>
    <row r="509" spans="1:2" x14ac:dyDescent="0.4">
      <c r="A509" s="4" t="s">
        <v>118</v>
      </c>
      <c r="B509" s="4" t="s">
        <v>118</v>
      </c>
    </row>
    <row r="510" spans="1:2" x14ac:dyDescent="0.4">
      <c r="A510" s="4" t="s">
        <v>118</v>
      </c>
      <c r="B510" s="4" t="s">
        <v>118</v>
      </c>
    </row>
    <row r="511" spans="1:2" x14ac:dyDescent="0.4">
      <c r="A511" s="4" t="s">
        <v>118</v>
      </c>
      <c r="B511" s="4" t="s">
        <v>118</v>
      </c>
    </row>
    <row r="512" spans="1:2" x14ac:dyDescent="0.4">
      <c r="A512" s="4" t="s">
        <v>118</v>
      </c>
      <c r="B512" s="4" t="s">
        <v>118</v>
      </c>
    </row>
    <row r="513" spans="1:2" x14ac:dyDescent="0.4">
      <c r="A513" s="4" t="s">
        <v>118</v>
      </c>
      <c r="B513" s="4" t="s">
        <v>118</v>
      </c>
    </row>
    <row r="514" spans="1:2" x14ac:dyDescent="0.4">
      <c r="A514" s="4" t="s">
        <v>118</v>
      </c>
      <c r="B514" s="4" t="s">
        <v>118</v>
      </c>
    </row>
    <row r="515" spans="1:2" x14ac:dyDescent="0.4">
      <c r="A515" s="4" t="s">
        <v>118</v>
      </c>
      <c r="B515" s="4" t="s">
        <v>118</v>
      </c>
    </row>
    <row r="516" spans="1:2" x14ac:dyDescent="0.4">
      <c r="A516" s="4" t="s">
        <v>118</v>
      </c>
      <c r="B516" s="4" t="s">
        <v>118</v>
      </c>
    </row>
    <row r="517" spans="1:2" x14ac:dyDescent="0.4">
      <c r="A517" s="4" t="s">
        <v>118</v>
      </c>
      <c r="B517" s="4" t="s">
        <v>118</v>
      </c>
    </row>
    <row r="518" spans="1:2" x14ac:dyDescent="0.4">
      <c r="A518" s="4" t="s">
        <v>118</v>
      </c>
      <c r="B518" s="4" t="s">
        <v>118</v>
      </c>
    </row>
    <row r="519" spans="1:2" x14ac:dyDescent="0.4">
      <c r="A519" s="4" t="s">
        <v>118</v>
      </c>
      <c r="B519" s="4" t="s">
        <v>118</v>
      </c>
    </row>
    <row r="520" spans="1:2" x14ac:dyDescent="0.4">
      <c r="A520" s="4" t="s">
        <v>118</v>
      </c>
      <c r="B520" s="4" t="s">
        <v>118</v>
      </c>
    </row>
    <row r="521" spans="1:2" x14ac:dyDescent="0.4">
      <c r="A521" s="4" t="s">
        <v>118</v>
      </c>
      <c r="B521" s="4" t="s">
        <v>118</v>
      </c>
    </row>
    <row r="522" spans="1:2" x14ac:dyDescent="0.4">
      <c r="A522" s="4" t="s">
        <v>118</v>
      </c>
      <c r="B522" s="4" t="s">
        <v>118</v>
      </c>
    </row>
    <row r="523" spans="1:2" x14ac:dyDescent="0.4">
      <c r="A523" s="4" t="s">
        <v>118</v>
      </c>
      <c r="B523" s="4" t="s">
        <v>118</v>
      </c>
    </row>
    <row r="524" spans="1:2" x14ac:dyDescent="0.4">
      <c r="A524" s="4" t="s">
        <v>118</v>
      </c>
      <c r="B524" s="4" t="s">
        <v>118</v>
      </c>
    </row>
    <row r="525" spans="1:2" x14ac:dyDescent="0.4">
      <c r="A525" s="4" t="s">
        <v>118</v>
      </c>
      <c r="B525" s="4" t="s">
        <v>118</v>
      </c>
    </row>
    <row r="526" spans="1:2" x14ac:dyDescent="0.4">
      <c r="A526" s="4" t="s">
        <v>118</v>
      </c>
      <c r="B526" s="4" t="s">
        <v>118</v>
      </c>
    </row>
    <row r="527" spans="1:2" x14ac:dyDescent="0.4">
      <c r="A527" s="4" t="s">
        <v>118</v>
      </c>
      <c r="B527" s="4" t="s">
        <v>118</v>
      </c>
    </row>
    <row r="528" spans="1:2" x14ac:dyDescent="0.4">
      <c r="A528" s="4" t="s">
        <v>118</v>
      </c>
      <c r="B528" s="4" t="s">
        <v>118</v>
      </c>
    </row>
    <row r="529" spans="1:2" x14ac:dyDescent="0.4">
      <c r="A529" s="4" t="s">
        <v>118</v>
      </c>
      <c r="B529" s="4" t="s">
        <v>118</v>
      </c>
    </row>
    <row r="530" spans="1:2" x14ac:dyDescent="0.4">
      <c r="A530" s="4" t="s">
        <v>118</v>
      </c>
      <c r="B530" s="4" t="s">
        <v>118</v>
      </c>
    </row>
    <row r="531" spans="1:2" x14ac:dyDescent="0.4">
      <c r="A531" s="4" t="s">
        <v>118</v>
      </c>
      <c r="B531" s="4" t="s">
        <v>118</v>
      </c>
    </row>
    <row r="532" spans="1:2" x14ac:dyDescent="0.4">
      <c r="A532" s="4" t="s">
        <v>118</v>
      </c>
      <c r="B532" s="4" t="s">
        <v>118</v>
      </c>
    </row>
    <row r="533" spans="1:2" x14ac:dyDescent="0.4">
      <c r="A533" s="4" t="s">
        <v>118</v>
      </c>
      <c r="B533" s="4" t="s">
        <v>118</v>
      </c>
    </row>
    <row r="534" spans="1:2" x14ac:dyDescent="0.4">
      <c r="A534" s="4" t="s">
        <v>118</v>
      </c>
      <c r="B534" s="4" t="s">
        <v>118</v>
      </c>
    </row>
    <row r="535" spans="1:2" x14ac:dyDescent="0.4">
      <c r="A535" s="4" t="s">
        <v>118</v>
      </c>
      <c r="B535" s="4" t="s">
        <v>118</v>
      </c>
    </row>
    <row r="536" spans="1:2" x14ac:dyDescent="0.4">
      <c r="A536" s="4" t="s">
        <v>118</v>
      </c>
      <c r="B536" s="4" t="s">
        <v>118</v>
      </c>
    </row>
    <row r="537" spans="1:2" x14ac:dyDescent="0.4">
      <c r="A537" s="4" t="s">
        <v>118</v>
      </c>
      <c r="B537" s="4" t="s">
        <v>118</v>
      </c>
    </row>
    <row r="538" spans="1:2" x14ac:dyDescent="0.4">
      <c r="A538" s="4" t="s">
        <v>118</v>
      </c>
      <c r="B538" s="4" t="s">
        <v>118</v>
      </c>
    </row>
    <row r="539" spans="1:2" x14ac:dyDescent="0.4">
      <c r="A539" s="4" t="s">
        <v>118</v>
      </c>
      <c r="B539" s="4" t="s">
        <v>118</v>
      </c>
    </row>
    <row r="540" spans="1:2" x14ac:dyDescent="0.4">
      <c r="A540" s="4" t="s">
        <v>118</v>
      </c>
      <c r="B540" s="4" t="s">
        <v>118</v>
      </c>
    </row>
    <row r="541" spans="1:2" x14ac:dyDescent="0.4">
      <c r="A541" s="4" t="s">
        <v>118</v>
      </c>
      <c r="B541" s="4" t="s">
        <v>118</v>
      </c>
    </row>
    <row r="542" spans="1:2" x14ac:dyDescent="0.4">
      <c r="A542" s="4" t="s">
        <v>118</v>
      </c>
      <c r="B542" s="4" t="s">
        <v>118</v>
      </c>
    </row>
    <row r="543" spans="1:2" x14ac:dyDescent="0.4">
      <c r="A543" s="4" t="s">
        <v>118</v>
      </c>
      <c r="B543" s="4" t="s">
        <v>118</v>
      </c>
    </row>
    <row r="544" spans="1:2" x14ac:dyDescent="0.4">
      <c r="A544" s="4" t="s">
        <v>118</v>
      </c>
      <c r="B544" s="4" t="s">
        <v>118</v>
      </c>
    </row>
    <row r="545" spans="1:2" x14ac:dyDescent="0.4">
      <c r="A545" s="4" t="s">
        <v>118</v>
      </c>
      <c r="B545" s="4" t="s">
        <v>118</v>
      </c>
    </row>
    <row r="546" spans="1:2" x14ac:dyDescent="0.4">
      <c r="A546" s="4" t="s">
        <v>118</v>
      </c>
      <c r="B546" s="4" t="s">
        <v>118</v>
      </c>
    </row>
    <row r="547" spans="1:2" x14ac:dyDescent="0.4">
      <c r="A547" s="4" t="s">
        <v>118</v>
      </c>
      <c r="B547" s="4" t="s">
        <v>118</v>
      </c>
    </row>
    <row r="548" spans="1:2" x14ac:dyDescent="0.4">
      <c r="A548" s="4" t="s">
        <v>118</v>
      </c>
      <c r="B548" s="4" t="s">
        <v>118</v>
      </c>
    </row>
    <row r="549" spans="1:2" x14ac:dyDescent="0.4">
      <c r="A549" s="4" t="s">
        <v>118</v>
      </c>
      <c r="B549" s="4" t="s">
        <v>118</v>
      </c>
    </row>
    <row r="550" spans="1:2" x14ac:dyDescent="0.4">
      <c r="A550" s="4" t="s">
        <v>118</v>
      </c>
      <c r="B550" s="4" t="s">
        <v>118</v>
      </c>
    </row>
    <row r="551" spans="1:2" x14ac:dyDescent="0.4">
      <c r="A551" s="4" t="s">
        <v>118</v>
      </c>
      <c r="B551" s="4" t="s">
        <v>118</v>
      </c>
    </row>
    <row r="552" spans="1:2" x14ac:dyDescent="0.4">
      <c r="A552" s="4" t="s">
        <v>118</v>
      </c>
      <c r="B552" s="4" t="s">
        <v>118</v>
      </c>
    </row>
    <row r="553" spans="1:2" x14ac:dyDescent="0.4">
      <c r="A553" s="4" t="s">
        <v>118</v>
      </c>
      <c r="B553" s="4" t="s">
        <v>118</v>
      </c>
    </row>
    <row r="554" spans="1:2" x14ac:dyDescent="0.4">
      <c r="A554" s="4" t="s">
        <v>118</v>
      </c>
      <c r="B554" s="4" t="s">
        <v>118</v>
      </c>
    </row>
    <row r="555" spans="1:2" x14ac:dyDescent="0.4">
      <c r="A555" s="4" t="s">
        <v>118</v>
      </c>
      <c r="B555" s="4" t="s">
        <v>118</v>
      </c>
    </row>
    <row r="556" spans="1:2" x14ac:dyDescent="0.4">
      <c r="A556" s="4" t="s">
        <v>118</v>
      </c>
      <c r="B556" s="4" t="s">
        <v>118</v>
      </c>
    </row>
    <row r="557" spans="1:2" x14ac:dyDescent="0.4">
      <c r="A557" s="4" t="s">
        <v>118</v>
      </c>
      <c r="B557" s="4" t="s">
        <v>118</v>
      </c>
    </row>
    <row r="558" spans="1:2" x14ac:dyDescent="0.4">
      <c r="A558" s="4" t="s">
        <v>118</v>
      </c>
      <c r="B558" s="4" t="s">
        <v>118</v>
      </c>
    </row>
    <row r="559" spans="1:2" x14ac:dyDescent="0.4">
      <c r="A559" s="4" t="s">
        <v>118</v>
      </c>
      <c r="B559" s="4" t="s">
        <v>118</v>
      </c>
    </row>
    <row r="560" spans="1:2" x14ac:dyDescent="0.4">
      <c r="A560" s="4" t="s">
        <v>118</v>
      </c>
      <c r="B560" s="4" t="s">
        <v>118</v>
      </c>
    </row>
    <row r="561" spans="1:2" x14ac:dyDescent="0.4">
      <c r="A561" s="4" t="s">
        <v>118</v>
      </c>
      <c r="B561" s="4" t="s">
        <v>118</v>
      </c>
    </row>
    <row r="562" spans="1:2" x14ac:dyDescent="0.4">
      <c r="A562" s="4" t="s">
        <v>118</v>
      </c>
      <c r="B562" s="4" t="s">
        <v>118</v>
      </c>
    </row>
    <row r="563" spans="1:2" x14ac:dyDescent="0.4">
      <c r="A563" s="4" t="s">
        <v>118</v>
      </c>
      <c r="B563" s="4" t="s">
        <v>118</v>
      </c>
    </row>
    <row r="564" spans="1:2" x14ac:dyDescent="0.4">
      <c r="A564" s="4" t="s">
        <v>118</v>
      </c>
      <c r="B564" s="4" t="s">
        <v>118</v>
      </c>
    </row>
    <row r="565" spans="1:2" x14ac:dyDescent="0.4">
      <c r="A565" s="4" t="s">
        <v>118</v>
      </c>
      <c r="B565" s="4" t="s">
        <v>118</v>
      </c>
    </row>
    <row r="566" spans="1:2" x14ac:dyDescent="0.4">
      <c r="A566" s="4" t="s">
        <v>118</v>
      </c>
      <c r="B566" s="4" t="s">
        <v>118</v>
      </c>
    </row>
    <row r="567" spans="1:2" x14ac:dyDescent="0.4">
      <c r="A567" s="4" t="s">
        <v>118</v>
      </c>
      <c r="B567" s="4" t="s">
        <v>118</v>
      </c>
    </row>
    <row r="568" spans="1:2" x14ac:dyDescent="0.4">
      <c r="A568" s="4" t="s">
        <v>118</v>
      </c>
      <c r="B568" s="4" t="s">
        <v>118</v>
      </c>
    </row>
    <row r="569" spans="1:2" x14ac:dyDescent="0.4">
      <c r="A569" s="4" t="s">
        <v>118</v>
      </c>
      <c r="B569" s="4" t="s">
        <v>118</v>
      </c>
    </row>
    <row r="570" spans="1:2" x14ac:dyDescent="0.4">
      <c r="A570" s="4" t="s">
        <v>118</v>
      </c>
      <c r="B570" s="4" t="s">
        <v>118</v>
      </c>
    </row>
    <row r="571" spans="1:2" x14ac:dyDescent="0.4">
      <c r="A571" s="4" t="s">
        <v>118</v>
      </c>
      <c r="B571" s="4" t="s">
        <v>118</v>
      </c>
    </row>
    <row r="572" spans="1:2" x14ac:dyDescent="0.4">
      <c r="A572" s="4" t="s">
        <v>118</v>
      </c>
      <c r="B572" s="4" t="s">
        <v>118</v>
      </c>
    </row>
    <row r="573" spans="1:2" x14ac:dyDescent="0.4">
      <c r="A573" s="4" t="s">
        <v>118</v>
      </c>
      <c r="B573" s="4" t="s">
        <v>118</v>
      </c>
    </row>
    <row r="574" spans="1:2" x14ac:dyDescent="0.4">
      <c r="A574" s="4" t="s">
        <v>118</v>
      </c>
      <c r="B574" s="4" t="s">
        <v>118</v>
      </c>
    </row>
    <row r="575" spans="1:2" x14ac:dyDescent="0.4">
      <c r="A575" s="4" t="s">
        <v>118</v>
      </c>
      <c r="B575" s="4" t="s">
        <v>118</v>
      </c>
    </row>
    <row r="576" spans="1:2" x14ac:dyDescent="0.4">
      <c r="A576" s="4" t="s">
        <v>118</v>
      </c>
      <c r="B576" s="4" t="s">
        <v>118</v>
      </c>
    </row>
    <row r="577" spans="1:2" x14ac:dyDescent="0.4">
      <c r="A577" s="4" t="s">
        <v>118</v>
      </c>
      <c r="B577" s="4" t="s">
        <v>118</v>
      </c>
    </row>
    <row r="578" spans="1:2" x14ac:dyDescent="0.4">
      <c r="A578" s="4" t="s">
        <v>118</v>
      </c>
      <c r="B578" s="4" t="s">
        <v>118</v>
      </c>
    </row>
    <row r="579" spans="1:2" x14ac:dyDescent="0.4">
      <c r="A579" s="4" t="s">
        <v>118</v>
      </c>
      <c r="B579" s="4" t="s">
        <v>118</v>
      </c>
    </row>
    <row r="580" spans="1:2" x14ac:dyDescent="0.4">
      <c r="A580" s="4" t="s">
        <v>118</v>
      </c>
      <c r="B580" s="4" t="s">
        <v>118</v>
      </c>
    </row>
    <row r="581" spans="1:2" x14ac:dyDescent="0.4">
      <c r="A581" s="4" t="s">
        <v>118</v>
      </c>
      <c r="B581" s="4" t="s">
        <v>118</v>
      </c>
    </row>
    <row r="582" spans="1:2" x14ac:dyDescent="0.4">
      <c r="A582" s="4" t="s">
        <v>118</v>
      </c>
      <c r="B582" s="4" t="s">
        <v>118</v>
      </c>
    </row>
    <row r="583" spans="1:2" x14ac:dyDescent="0.4">
      <c r="A583" s="4" t="s">
        <v>118</v>
      </c>
      <c r="B583" s="4" t="s">
        <v>118</v>
      </c>
    </row>
    <row r="584" spans="1:2" x14ac:dyDescent="0.4">
      <c r="A584" s="4" t="s">
        <v>118</v>
      </c>
      <c r="B584" s="4" t="s">
        <v>118</v>
      </c>
    </row>
    <row r="585" spans="1:2" x14ac:dyDescent="0.4">
      <c r="A585" s="4" t="s">
        <v>118</v>
      </c>
      <c r="B585" s="4" t="s">
        <v>118</v>
      </c>
    </row>
    <row r="586" spans="1:2" x14ac:dyDescent="0.4">
      <c r="A586" s="4" t="s">
        <v>118</v>
      </c>
      <c r="B586" s="4" t="s">
        <v>118</v>
      </c>
    </row>
    <row r="587" spans="1:2" x14ac:dyDescent="0.4">
      <c r="A587" s="4" t="s">
        <v>118</v>
      </c>
      <c r="B587" s="4" t="s">
        <v>118</v>
      </c>
    </row>
    <row r="588" spans="1:2" x14ac:dyDescent="0.4">
      <c r="A588" s="4" t="s">
        <v>118</v>
      </c>
      <c r="B588" s="4" t="s">
        <v>118</v>
      </c>
    </row>
    <row r="589" spans="1:2" x14ac:dyDescent="0.4">
      <c r="A589" s="4" t="s">
        <v>118</v>
      </c>
      <c r="B589" s="4" t="s">
        <v>118</v>
      </c>
    </row>
    <row r="590" spans="1:2" x14ac:dyDescent="0.4">
      <c r="A590" s="4" t="s">
        <v>118</v>
      </c>
      <c r="B590" s="4" t="s">
        <v>118</v>
      </c>
    </row>
    <row r="591" spans="1:2" x14ac:dyDescent="0.4">
      <c r="A591" s="4" t="s">
        <v>118</v>
      </c>
      <c r="B591" s="4" t="s">
        <v>118</v>
      </c>
    </row>
    <row r="592" spans="1:2" x14ac:dyDescent="0.4">
      <c r="A592" s="4" t="s">
        <v>118</v>
      </c>
      <c r="B592" s="4" t="s">
        <v>118</v>
      </c>
    </row>
    <row r="593" spans="1:2" x14ac:dyDescent="0.4">
      <c r="A593" s="4" t="s">
        <v>118</v>
      </c>
      <c r="B593" s="4" t="s">
        <v>118</v>
      </c>
    </row>
    <row r="594" spans="1:2" x14ac:dyDescent="0.4">
      <c r="A594" s="4" t="s">
        <v>118</v>
      </c>
      <c r="B594" s="4" t="s">
        <v>118</v>
      </c>
    </row>
    <row r="595" spans="1:2" x14ac:dyDescent="0.4">
      <c r="A595" s="4" t="s">
        <v>118</v>
      </c>
      <c r="B595" s="4" t="s">
        <v>118</v>
      </c>
    </row>
    <row r="596" spans="1:2" x14ac:dyDescent="0.4">
      <c r="A596" s="4" t="s">
        <v>118</v>
      </c>
      <c r="B596" s="4" t="s">
        <v>118</v>
      </c>
    </row>
    <row r="597" spans="1:2" x14ac:dyDescent="0.4">
      <c r="A597" s="4" t="s">
        <v>118</v>
      </c>
      <c r="B597" s="4" t="s">
        <v>118</v>
      </c>
    </row>
    <row r="598" spans="1:2" x14ac:dyDescent="0.4">
      <c r="A598" s="4" t="s">
        <v>118</v>
      </c>
      <c r="B598" s="4" t="s">
        <v>118</v>
      </c>
    </row>
    <row r="599" spans="1:2" x14ac:dyDescent="0.4">
      <c r="A599" s="4" t="s">
        <v>118</v>
      </c>
      <c r="B599" s="4" t="s">
        <v>118</v>
      </c>
    </row>
    <row r="600" spans="1:2" x14ac:dyDescent="0.4">
      <c r="A600" s="4" t="s">
        <v>118</v>
      </c>
      <c r="B600" s="4" t="s">
        <v>118</v>
      </c>
    </row>
    <row r="601" spans="1:2" x14ac:dyDescent="0.4">
      <c r="A601" s="4" t="s">
        <v>118</v>
      </c>
      <c r="B601" s="4" t="s">
        <v>118</v>
      </c>
    </row>
    <row r="602" spans="1:2" x14ac:dyDescent="0.4">
      <c r="A602" s="4" t="s">
        <v>118</v>
      </c>
      <c r="B602" s="4" t="s">
        <v>118</v>
      </c>
    </row>
    <row r="603" spans="1:2" x14ac:dyDescent="0.4">
      <c r="A603" s="4" t="s">
        <v>118</v>
      </c>
      <c r="B603" s="4" t="s">
        <v>118</v>
      </c>
    </row>
    <row r="604" spans="1:2" x14ac:dyDescent="0.4">
      <c r="A604" s="4" t="s">
        <v>118</v>
      </c>
      <c r="B604" s="4" t="s">
        <v>118</v>
      </c>
    </row>
    <row r="605" spans="1:2" x14ac:dyDescent="0.4">
      <c r="A605" s="4" t="s">
        <v>118</v>
      </c>
      <c r="B605" s="4" t="s">
        <v>118</v>
      </c>
    </row>
    <row r="606" spans="1:2" x14ac:dyDescent="0.4">
      <c r="A606" s="4" t="s">
        <v>118</v>
      </c>
      <c r="B606" s="4" t="s">
        <v>118</v>
      </c>
    </row>
    <row r="607" spans="1:2" x14ac:dyDescent="0.4">
      <c r="A607" s="4" t="s">
        <v>118</v>
      </c>
      <c r="B607" s="4" t="s">
        <v>118</v>
      </c>
    </row>
    <row r="608" spans="1:2" x14ac:dyDescent="0.4">
      <c r="A608" s="4" t="s">
        <v>118</v>
      </c>
      <c r="B608" s="4" t="s">
        <v>118</v>
      </c>
    </row>
    <row r="609" spans="1:2" x14ac:dyDescent="0.4">
      <c r="A609" s="4" t="s">
        <v>118</v>
      </c>
      <c r="B609" s="4" t="s">
        <v>118</v>
      </c>
    </row>
    <row r="610" spans="1:2" x14ac:dyDescent="0.4">
      <c r="A610" s="4" t="s">
        <v>118</v>
      </c>
      <c r="B610" s="4" t="s">
        <v>118</v>
      </c>
    </row>
    <row r="611" spans="1:2" x14ac:dyDescent="0.4">
      <c r="A611" s="4" t="s">
        <v>118</v>
      </c>
      <c r="B611" s="4" t="s">
        <v>118</v>
      </c>
    </row>
    <row r="612" spans="1:2" x14ac:dyDescent="0.4">
      <c r="A612" s="4" t="s">
        <v>118</v>
      </c>
      <c r="B612" s="4" t="s">
        <v>118</v>
      </c>
    </row>
    <row r="613" spans="1:2" x14ac:dyDescent="0.4">
      <c r="A613" s="4" t="s">
        <v>118</v>
      </c>
      <c r="B613" s="4" t="s">
        <v>118</v>
      </c>
    </row>
    <row r="614" spans="1:2" x14ac:dyDescent="0.4">
      <c r="A614" s="4" t="s">
        <v>118</v>
      </c>
      <c r="B614" s="4" t="s">
        <v>118</v>
      </c>
    </row>
    <row r="615" spans="1:2" x14ac:dyDescent="0.4">
      <c r="A615" s="4" t="s">
        <v>118</v>
      </c>
      <c r="B615" s="4" t="s">
        <v>118</v>
      </c>
    </row>
    <row r="616" spans="1:2" x14ac:dyDescent="0.4">
      <c r="A616" s="4" t="s">
        <v>118</v>
      </c>
      <c r="B616" s="4" t="s">
        <v>118</v>
      </c>
    </row>
    <row r="617" spans="1:2" x14ac:dyDescent="0.4">
      <c r="A617" s="4" t="s">
        <v>118</v>
      </c>
      <c r="B617" s="4" t="s">
        <v>118</v>
      </c>
    </row>
    <row r="618" spans="1:2" x14ac:dyDescent="0.4">
      <c r="A618" s="4" t="s">
        <v>118</v>
      </c>
      <c r="B618" s="4" t="s">
        <v>118</v>
      </c>
    </row>
    <row r="619" spans="1:2" x14ac:dyDescent="0.4">
      <c r="A619" s="4" t="s">
        <v>118</v>
      </c>
      <c r="B619" s="4" t="s">
        <v>118</v>
      </c>
    </row>
    <row r="620" spans="1:2" x14ac:dyDescent="0.4">
      <c r="A620" s="4" t="s">
        <v>118</v>
      </c>
      <c r="B620" s="4" t="s">
        <v>118</v>
      </c>
    </row>
    <row r="621" spans="1:2" x14ac:dyDescent="0.4">
      <c r="A621" s="4" t="s">
        <v>118</v>
      </c>
      <c r="B621" s="4" t="s">
        <v>118</v>
      </c>
    </row>
    <row r="622" spans="1:2" x14ac:dyDescent="0.4">
      <c r="A622" s="4" t="s">
        <v>118</v>
      </c>
      <c r="B622" s="4" t="s">
        <v>118</v>
      </c>
    </row>
    <row r="623" spans="1:2" x14ac:dyDescent="0.4">
      <c r="A623" s="4" t="s">
        <v>118</v>
      </c>
      <c r="B623" s="4" t="s">
        <v>118</v>
      </c>
    </row>
    <row r="624" spans="1:2" x14ac:dyDescent="0.4">
      <c r="A624" s="4" t="s">
        <v>118</v>
      </c>
      <c r="B624" s="4" t="s">
        <v>118</v>
      </c>
    </row>
    <row r="625" spans="1:2" x14ac:dyDescent="0.4">
      <c r="A625" s="4" t="s">
        <v>118</v>
      </c>
      <c r="B625" s="4" t="s">
        <v>118</v>
      </c>
    </row>
    <row r="626" spans="1:2" x14ac:dyDescent="0.4">
      <c r="A626" s="4" t="s">
        <v>118</v>
      </c>
      <c r="B626" s="4" t="s">
        <v>118</v>
      </c>
    </row>
    <row r="627" spans="1:2" x14ac:dyDescent="0.4">
      <c r="A627" s="4" t="s">
        <v>118</v>
      </c>
      <c r="B627" s="4" t="s">
        <v>118</v>
      </c>
    </row>
    <row r="628" spans="1:2" x14ac:dyDescent="0.4">
      <c r="A628" s="4" t="s">
        <v>118</v>
      </c>
      <c r="B628" s="4" t="s">
        <v>118</v>
      </c>
    </row>
    <row r="629" spans="1:2" x14ac:dyDescent="0.4">
      <c r="A629" s="4" t="s">
        <v>118</v>
      </c>
      <c r="B629" s="4" t="s">
        <v>118</v>
      </c>
    </row>
    <row r="630" spans="1:2" x14ac:dyDescent="0.4">
      <c r="A630" s="4" t="s">
        <v>118</v>
      </c>
      <c r="B630" s="4" t="s">
        <v>118</v>
      </c>
    </row>
    <row r="631" spans="1:2" x14ac:dyDescent="0.4">
      <c r="A631" s="4" t="s">
        <v>118</v>
      </c>
      <c r="B631" s="4" t="s">
        <v>118</v>
      </c>
    </row>
    <row r="632" spans="1:2" x14ac:dyDescent="0.4">
      <c r="A632" s="4" t="s">
        <v>118</v>
      </c>
      <c r="B632" s="4" t="s">
        <v>118</v>
      </c>
    </row>
    <row r="633" spans="1:2" x14ac:dyDescent="0.4">
      <c r="A633" s="4" t="s">
        <v>118</v>
      </c>
      <c r="B633" s="4" t="s">
        <v>118</v>
      </c>
    </row>
    <row r="634" spans="1:2" x14ac:dyDescent="0.4">
      <c r="A634" s="4" t="s">
        <v>118</v>
      </c>
      <c r="B634" s="4" t="s">
        <v>118</v>
      </c>
    </row>
    <row r="635" spans="1:2" x14ac:dyDescent="0.4">
      <c r="A635" s="4" t="s">
        <v>118</v>
      </c>
      <c r="B635" s="4" t="s">
        <v>118</v>
      </c>
    </row>
    <row r="636" spans="1:2" x14ac:dyDescent="0.4">
      <c r="A636" s="4" t="s">
        <v>118</v>
      </c>
      <c r="B636" s="4" t="s">
        <v>118</v>
      </c>
    </row>
    <row r="637" spans="1:2" x14ac:dyDescent="0.4">
      <c r="A637" s="4" t="s">
        <v>118</v>
      </c>
      <c r="B637" s="4" t="s">
        <v>118</v>
      </c>
    </row>
    <row r="638" spans="1:2" x14ac:dyDescent="0.4">
      <c r="A638" s="4" t="s">
        <v>118</v>
      </c>
      <c r="B638" s="4" t="s">
        <v>118</v>
      </c>
    </row>
    <row r="639" spans="1:2" x14ac:dyDescent="0.4">
      <c r="A639" s="4" t="s">
        <v>118</v>
      </c>
      <c r="B639" s="4" t="s">
        <v>118</v>
      </c>
    </row>
    <row r="640" spans="1:2" x14ac:dyDescent="0.4">
      <c r="A640" s="4" t="s">
        <v>118</v>
      </c>
      <c r="B640" s="4" t="s">
        <v>118</v>
      </c>
    </row>
    <row r="641" spans="1:2" x14ac:dyDescent="0.4">
      <c r="A641" s="4" t="s">
        <v>118</v>
      </c>
      <c r="B641" s="4" t="s">
        <v>118</v>
      </c>
    </row>
    <row r="642" spans="1:2" x14ac:dyDescent="0.4">
      <c r="A642" s="4" t="s">
        <v>118</v>
      </c>
      <c r="B642" s="4" t="s">
        <v>118</v>
      </c>
    </row>
    <row r="643" spans="1:2" x14ac:dyDescent="0.4">
      <c r="A643" s="4" t="s">
        <v>118</v>
      </c>
      <c r="B643" s="4" t="s">
        <v>118</v>
      </c>
    </row>
    <row r="644" spans="1:2" x14ac:dyDescent="0.4">
      <c r="A644" s="4" t="s">
        <v>118</v>
      </c>
      <c r="B644" s="4" t="s">
        <v>118</v>
      </c>
    </row>
    <row r="645" spans="1:2" x14ac:dyDescent="0.4">
      <c r="A645" s="4" t="s">
        <v>118</v>
      </c>
      <c r="B645" s="4" t="s">
        <v>118</v>
      </c>
    </row>
    <row r="646" spans="1:2" x14ac:dyDescent="0.4">
      <c r="A646" s="4" t="s">
        <v>118</v>
      </c>
      <c r="B646" s="4" t="s">
        <v>118</v>
      </c>
    </row>
    <row r="647" spans="1:2" x14ac:dyDescent="0.4">
      <c r="A647" s="4" t="s">
        <v>118</v>
      </c>
      <c r="B647" s="4" t="s">
        <v>118</v>
      </c>
    </row>
    <row r="648" spans="1:2" x14ac:dyDescent="0.4">
      <c r="A648" s="4" t="s">
        <v>118</v>
      </c>
      <c r="B648" s="4" t="s">
        <v>118</v>
      </c>
    </row>
    <row r="649" spans="1:2" x14ac:dyDescent="0.4">
      <c r="A649" s="4" t="s">
        <v>118</v>
      </c>
      <c r="B649" s="4" t="s">
        <v>118</v>
      </c>
    </row>
    <row r="650" spans="1:2" x14ac:dyDescent="0.4">
      <c r="A650" s="4" t="s">
        <v>118</v>
      </c>
      <c r="B650" s="4" t="s">
        <v>118</v>
      </c>
    </row>
    <row r="651" spans="1:2" x14ac:dyDescent="0.4">
      <c r="A651" s="4" t="s">
        <v>118</v>
      </c>
      <c r="B651" s="4" t="s">
        <v>118</v>
      </c>
    </row>
    <row r="652" spans="1:2" x14ac:dyDescent="0.4">
      <c r="A652" s="4" t="s">
        <v>118</v>
      </c>
      <c r="B652" s="4" t="s">
        <v>118</v>
      </c>
    </row>
    <row r="653" spans="1:2" x14ac:dyDescent="0.4">
      <c r="A653" s="4" t="s">
        <v>118</v>
      </c>
      <c r="B653" s="4" t="s">
        <v>118</v>
      </c>
    </row>
    <row r="654" spans="1:2" x14ac:dyDescent="0.4">
      <c r="A654" s="4" t="s">
        <v>118</v>
      </c>
      <c r="B654" s="4" t="s">
        <v>118</v>
      </c>
    </row>
    <row r="655" spans="1:2" x14ac:dyDescent="0.4">
      <c r="A655" s="4" t="s">
        <v>118</v>
      </c>
      <c r="B655" s="4" t="s">
        <v>118</v>
      </c>
    </row>
    <row r="656" spans="1:2" x14ac:dyDescent="0.4">
      <c r="A656" s="4" t="s">
        <v>118</v>
      </c>
      <c r="B656" s="4" t="s">
        <v>118</v>
      </c>
    </row>
    <row r="657" spans="1:2" x14ac:dyDescent="0.4">
      <c r="A657" s="4" t="s">
        <v>118</v>
      </c>
      <c r="B657" s="4" t="s">
        <v>118</v>
      </c>
    </row>
    <row r="658" spans="1:2" x14ac:dyDescent="0.4">
      <c r="A658" s="4" t="s">
        <v>118</v>
      </c>
      <c r="B658" s="4" t="s">
        <v>118</v>
      </c>
    </row>
    <row r="659" spans="1:2" x14ac:dyDescent="0.4">
      <c r="A659" s="4" t="s">
        <v>118</v>
      </c>
      <c r="B659" s="4" t="s">
        <v>118</v>
      </c>
    </row>
    <row r="660" spans="1:2" x14ac:dyDescent="0.4">
      <c r="A660" s="4" t="s">
        <v>118</v>
      </c>
      <c r="B660" s="4" t="s">
        <v>118</v>
      </c>
    </row>
    <row r="661" spans="1:2" x14ac:dyDescent="0.4">
      <c r="A661" s="4" t="s">
        <v>118</v>
      </c>
      <c r="B661" s="4" t="s">
        <v>118</v>
      </c>
    </row>
    <row r="662" spans="1:2" x14ac:dyDescent="0.4">
      <c r="A662" s="4" t="s">
        <v>118</v>
      </c>
      <c r="B662" s="4" t="s">
        <v>118</v>
      </c>
    </row>
    <row r="663" spans="1:2" x14ac:dyDescent="0.4">
      <c r="A663" s="4" t="s">
        <v>118</v>
      </c>
      <c r="B663" s="4" t="s">
        <v>118</v>
      </c>
    </row>
    <row r="664" spans="1:2" x14ac:dyDescent="0.4">
      <c r="A664" s="4" t="s">
        <v>118</v>
      </c>
      <c r="B664" s="4" t="s">
        <v>118</v>
      </c>
    </row>
    <row r="665" spans="1:2" x14ac:dyDescent="0.4">
      <c r="A665" s="4" t="s">
        <v>118</v>
      </c>
      <c r="B665" s="4" t="s">
        <v>118</v>
      </c>
    </row>
    <row r="666" spans="1:2" x14ac:dyDescent="0.4">
      <c r="A666" s="4" t="s">
        <v>118</v>
      </c>
      <c r="B666" s="4" t="s">
        <v>118</v>
      </c>
    </row>
    <row r="667" spans="1:2" x14ac:dyDescent="0.4">
      <c r="A667" s="4" t="s">
        <v>118</v>
      </c>
      <c r="B667" s="4" t="s">
        <v>118</v>
      </c>
    </row>
    <row r="668" spans="1:2" x14ac:dyDescent="0.4">
      <c r="A668" s="4" t="s">
        <v>118</v>
      </c>
      <c r="B668" s="4" t="s">
        <v>118</v>
      </c>
    </row>
    <row r="669" spans="1:2" x14ac:dyDescent="0.4">
      <c r="A669" s="4" t="s">
        <v>118</v>
      </c>
      <c r="B669" s="4" t="s">
        <v>118</v>
      </c>
    </row>
    <row r="670" spans="1:2" x14ac:dyDescent="0.4">
      <c r="A670" s="4" t="s">
        <v>118</v>
      </c>
      <c r="B670" s="4" t="s">
        <v>118</v>
      </c>
    </row>
    <row r="671" spans="1:2" x14ac:dyDescent="0.4">
      <c r="A671" s="4" t="s">
        <v>118</v>
      </c>
      <c r="B671" s="4" t="s">
        <v>118</v>
      </c>
    </row>
    <row r="672" spans="1:2" x14ac:dyDescent="0.4">
      <c r="A672" s="4" t="s">
        <v>118</v>
      </c>
      <c r="B672" s="4" t="s">
        <v>118</v>
      </c>
    </row>
    <row r="673" spans="1:2" x14ac:dyDescent="0.4">
      <c r="A673" s="4" t="s">
        <v>118</v>
      </c>
      <c r="B673" s="4" t="s">
        <v>118</v>
      </c>
    </row>
    <row r="674" spans="1:2" x14ac:dyDescent="0.4">
      <c r="A674" s="4" t="s">
        <v>118</v>
      </c>
      <c r="B674" s="4" t="s">
        <v>118</v>
      </c>
    </row>
    <row r="675" spans="1:2" x14ac:dyDescent="0.4">
      <c r="A675" s="4" t="s">
        <v>118</v>
      </c>
      <c r="B675" s="4" t="s">
        <v>118</v>
      </c>
    </row>
    <row r="676" spans="1:2" x14ac:dyDescent="0.4">
      <c r="A676" s="4" t="s">
        <v>118</v>
      </c>
      <c r="B676" s="4" t="s">
        <v>118</v>
      </c>
    </row>
    <row r="677" spans="1:2" x14ac:dyDescent="0.4">
      <c r="A677" s="4" t="s">
        <v>118</v>
      </c>
      <c r="B677" s="4" t="s">
        <v>118</v>
      </c>
    </row>
    <row r="678" spans="1:2" x14ac:dyDescent="0.4">
      <c r="A678" s="4" t="s">
        <v>118</v>
      </c>
      <c r="B678" s="4" t="s">
        <v>118</v>
      </c>
    </row>
    <row r="679" spans="1:2" x14ac:dyDescent="0.4">
      <c r="A679" s="4" t="s">
        <v>118</v>
      </c>
      <c r="B679" s="4" t="s">
        <v>118</v>
      </c>
    </row>
    <row r="680" spans="1:2" x14ac:dyDescent="0.4">
      <c r="A680" s="4" t="s">
        <v>118</v>
      </c>
      <c r="B680" s="4" t="s">
        <v>118</v>
      </c>
    </row>
    <row r="681" spans="1:2" x14ac:dyDescent="0.4">
      <c r="A681" s="4" t="s">
        <v>118</v>
      </c>
      <c r="B681" s="4" t="s">
        <v>118</v>
      </c>
    </row>
    <row r="682" spans="1:2" x14ac:dyDescent="0.4">
      <c r="A682" s="4" t="s">
        <v>118</v>
      </c>
      <c r="B682" s="4" t="s">
        <v>118</v>
      </c>
    </row>
    <row r="683" spans="1:2" x14ac:dyDescent="0.4">
      <c r="A683" s="4" t="s">
        <v>118</v>
      </c>
      <c r="B683" s="4" t="s">
        <v>118</v>
      </c>
    </row>
    <row r="684" spans="1:2" x14ac:dyDescent="0.4">
      <c r="A684" s="4" t="s">
        <v>118</v>
      </c>
      <c r="B684" s="4" t="s">
        <v>118</v>
      </c>
    </row>
    <row r="685" spans="1:2" x14ac:dyDescent="0.4">
      <c r="A685" s="4" t="s">
        <v>118</v>
      </c>
      <c r="B685" s="4" t="s">
        <v>118</v>
      </c>
    </row>
    <row r="686" spans="1:2" x14ac:dyDescent="0.4">
      <c r="A686" s="4" t="s">
        <v>118</v>
      </c>
      <c r="B686" s="4" t="s">
        <v>118</v>
      </c>
    </row>
    <row r="687" spans="1:2" x14ac:dyDescent="0.4">
      <c r="A687" s="4" t="s">
        <v>118</v>
      </c>
      <c r="B687" s="4" t="s">
        <v>118</v>
      </c>
    </row>
    <row r="688" spans="1:2" x14ac:dyDescent="0.4">
      <c r="A688" s="4" t="s">
        <v>118</v>
      </c>
      <c r="B688" s="4" t="s">
        <v>118</v>
      </c>
    </row>
    <row r="689" spans="1:2" x14ac:dyDescent="0.4">
      <c r="A689" s="4" t="s">
        <v>118</v>
      </c>
      <c r="B689" s="4" t="s">
        <v>118</v>
      </c>
    </row>
    <row r="690" spans="1:2" x14ac:dyDescent="0.4">
      <c r="A690" s="4" t="s">
        <v>118</v>
      </c>
      <c r="B690" s="4" t="s">
        <v>118</v>
      </c>
    </row>
    <row r="691" spans="1:2" x14ac:dyDescent="0.4">
      <c r="A691" s="4" t="s">
        <v>118</v>
      </c>
      <c r="B691" s="4" t="s">
        <v>118</v>
      </c>
    </row>
    <row r="692" spans="1:2" x14ac:dyDescent="0.4">
      <c r="A692" s="4" t="s">
        <v>118</v>
      </c>
      <c r="B692" s="4" t="s">
        <v>118</v>
      </c>
    </row>
    <row r="693" spans="1:2" x14ac:dyDescent="0.4">
      <c r="A693" s="4" t="s">
        <v>118</v>
      </c>
      <c r="B693" s="4" t="s">
        <v>118</v>
      </c>
    </row>
    <row r="694" spans="1:2" x14ac:dyDescent="0.4">
      <c r="A694" s="4" t="s">
        <v>118</v>
      </c>
      <c r="B694" s="4" t="s">
        <v>118</v>
      </c>
    </row>
    <row r="695" spans="1:2" x14ac:dyDescent="0.4">
      <c r="A695" s="4" t="s">
        <v>118</v>
      </c>
      <c r="B695" s="4" t="s">
        <v>118</v>
      </c>
    </row>
    <row r="696" spans="1:2" x14ac:dyDescent="0.4">
      <c r="A696" s="4" t="s">
        <v>118</v>
      </c>
      <c r="B696" s="4" t="s">
        <v>118</v>
      </c>
    </row>
    <row r="697" spans="1:2" x14ac:dyDescent="0.4">
      <c r="A697" s="4" t="s">
        <v>118</v>
      </c>
      <c r="B697" s="4" t="s">
        <v>118</v>
      </c>
    </row>
    <row r="698" spans="1:2" x14ac:dyDescent="0.4">
      <c r="A698" s="4" t="s">
        <v>118</v>
      </c>
      <c r="B698" s="4" t="s">
        <v>118</v>
      </c>
    </row>
    <row r="699" spans="1:2" x14ac:dyDescent="0.4">
      <c r="A699" s="4" t="s">
        <v>118</v>
      </c>
      <c r="B699" s="4" t="s">
        <v>118</v>
      </c>
    </row>
    <row r="700" spans="1:2" x14ac:dyDescent="0.4">
      <c r="A700" s="4" t="s">
        <v>118</v>
      </c>
      <c r="B700" s="4" t="s">
        <v>118</v>
      </c>
    </row>
    <row r="701" spans="1:2" x14ac:dyDescent="0.4">
      <c r="A701" s="4" t="s">
        <v>118</v>
      </c>
      <c r="B701" s="4" t="s">
        <v>118</v>
      </c>
    </row>
    <row r="702" spans="1:2" x14ac:dyDescent="0.4">
      <c r="A702" s="4" t="s">
        <v>118</v>
      </c>
      <c r="B702" s="4" t="s">
        <v>118</v>
      </c>
    </row>
    <row r="703" spans="1:2" x14ac:dyDescent="0.4">
      <c r="A703" s="4" t="s">
        <v>118</v>
      </c>
      <c r="B703" s="4" t="s">
        <v>118</v>
      </c>
    </row>
    <row r="704" spans="1:2" x14ac:dyDescent="0.4">
      <c r="A704" s="4" t="s">
        <v>118</v>
      </c>
      <c r="B704" s="4" t="s">
        <v>118</v>
      </c>
    </row>
    <row r="705" spans="1:2" x14ac:dyDescent="0.4">
      <c r="A705" s="4" t="s">
        <v>118</v>
      </c>
      <c r="B705" s="4" t="s">
        <v>118</v>
      </c>
    </row>
    <row r="706" spans="1:2" x14ac:dyDescent="0.4">
      <c r="A706" s="4" t="s">
        <v>118</v>
      </c>
      <c r="B706" s="4" t="s">
        <v>118</v>
      </c>
    </row>
    <row r="707" spans="1:2" x14ac:dyDescent="0.4">
      <c r="A707" s="4" t="s">
        <v>118</v>
      </c>
      <c r="B707" s="4" t="s">
        <v>118</v>
      </c>
    </row>
    <row r="708" spans="1:2" x14ac:dyDescent="0.4">
      <c r="A708" s="4" t="s">
        <v>118</v>
      </c>
      <c r="B708" s="4" t="s">
        <v>118</v>
      </c>
    </row>
    <row r="709" spans="1:2" x14ac:dyDescent="0.4">
      <c r="A709" s="4" t="s">
        <v>118</v>
      </c>
      <c r="B709" s="4" t="s">
        <v>118</v>
      </c>
    </row>
    <row r="710" spans="1:2" x14ac:dyDescent="0.4">
      <c r="A710" s="4" t="s">
        <v>118</v>
      </c>
      <c r="B710" s="4" t="s">
        <v>118</v>
      </c>
    </row>
    <row r="711" spans="1:2" x14ac:dyDescent="0.4">
      <c r="A711" s="4" t="s">
        <v>118</v>
      </c>
      <c r="B711" s="4" t="s">
        <v>118</v>
      </c>
    </row>
    <row r="712" spans="1:2" x14ac:dyDescent="0.4">
      <c r="A712" s="4" t="s">
        <v>118</v>
      </c>
      <c r="B712" s="4" t="s">
        <v>118</v>
      </c>
    </row>
    <row r="713" spans="1:2" x14ac:dyDescent="0.4">
      <c r="A713" s="4" t="s">
        <v>118</v>
      </c>
      <c r="B713" s="4" t="s">
        <v>118</v>
      </c>
    </row>
    <row r="714" spans="1:2" x14ac:dyDescent="0.4">
      <c r="A714" s="4" t="s">
        <v>118</v>
      </c>
      <c r="B714" s="4" t="s">
        <v>118</v>
      </c>
    </row>
    <row r="715" spans="1:2" x14ac:dyDescent="0.4">
      <c r="A715" s="4" t="s">
        <v>118</v>
      </c>
      <c r="B715" s="4" t="s">
        <v>118</v>
      </c>
    </row>
    <row r="716" spans="1:2" x14ac:dyDescent="0.4">
      <c r="A716" s="4" t="s">
        <v>118</v>
      </c>
      <c r="B716" s="4" t="s">
        <v>118</v>
      </c>
    </row>
    <row r="717" spans="1:2" x14ac:dyDescent="0.4">
      <c r="A717" s="4" t="s">
        <v>118</v>
      </c>
      <c r="B717" s="4" t="s">
        <v>118</v>
      </c>
    </row>
    <row r="718" spans="1:2" x14ac:dyDescent="0.4">
      <c r="A718" s="4" t="s">
        <v>118</v>
      </c>
      <c r="B718" s="4" t="s">
        <v>118</v>
      </c>
    </row>
    <row r="719" spans="1:2" x14ac:dyDescent="0.4">
      <c r="A719" s="4" t="s">
        <v>118</v>
      </c>
      <c r="B719" s="4" t="s">
        <v>118</v>
      </c>
    </row>
    <row r="720" spans="1:2" x14ac:dyDescent="0.4">
      <c r="A720" s="4" t="s">
        <v>118</v>
      </c>
      <c r="B720" s="4" t="s">
        <v>118</v>
      </c>
    </row>
    <row r="721" spans="1:2" x14ac:dyDescent="0.4">
      <c r="A721" s="4" t="s">
        <v>118</v>
      </c>
      <c r="B721" s="4" t="s">
        <v>118</v>
      </c>
    </row>
    <row r="722" spans="1:2" x14ac:dyDescent="0.4">
      <c r="A722" s="4" t="s">
        <v>118</v>
      </c>
      <c r="B722" s="4" t="s">
        <v>118</v>
      </c>
    </row>
    <row r="723" spans="1:2" x14ac:dyDescent="0.4">
      <c r="A723" s="4" t="s">
        <v>118</v>
      </c>
      <c r="B723" s="4" t="s">
        <v>118</v>
      </c>
    </row>
    <row r="724" spans="1:2" x14ac:dyDescent="0.4">
      <c r="A724" s="4" t="s">
        <v>118</v>
      </c>
      <c r="B724" s="4" t="s">
        <v>118</v>
      </c>
    </row>
    <row r="725" spans="1:2" x14ac:dyDescent="0.4">
      <c r="A725" s="4" t="s">
        <v>118</v>
      </c>
      <c r="B725" s="4" t="s">
        <v>118</v>
      </c>
    </row>
    <row r="726" spans="1:2" x14ac:dyDescent="0.4">
      <c r="A726" s="4" t="s">
        <v>118</v>
      </c>
      <c r="B726" s="4" t="s">
        <v>118</v>
      </c>
    </row>
    <row r="727" spans="1:2" x14ac:dyDescent="0.4">
      <c r="A727" s="4" t="s">
        <v>118</v>
      </c>
      <c r="B727" s="4" t="s">
        <v>118</v>
      </c>
    </row>
    <row r="728" spans="1:2" x14ac:dyDescent="0.4">
      <c r="A728" s="4" t="s">
        <v>118</v>
      </c>
      <c r="B728" s="4" t="s">
        <v>118</v>
      </c>
    </row>
    <row r="729" spans="1:2" x14ac:dyDescent="0.4">
      <c r="A729" s="4" t="s">
        <v>118</v>
      </c>
      <c r="B729" s="4" t="s">
        <v>118</v>
      </c>
    </row>
    <row r="730" spans="1:2" x14ac:dyDescent="0.4">
      <c r="A730" s="4" t="s">
        <v>118</v>
      </c>
      <c r="B730" s="4" t="s">
        <v>118</v>
      </c>
    </row>
    <row r="731" spans="1:2" x14ac:dyDescent="0.4">
      <c r="A731" s="4" t="s">
        <v>118</v>
      </c>
      <c r="B731" s="4" t="s">
        <v>118</v>
      </c>
    </row>
    <row r="732" spans="1:2" x14ac:dyDescent="0.4">
      <c r="A732" s="4" t="s">
        <v>118</v>
      </c>
      <c r="B732" s="4" t="s">
        <v>118</v>
      </c>
    </row>
    <row r="733" spans="1:2" x14ac:dyDescent="0.4">
      <c r="A733" s="4" t="s">
        <v>118</v>
      </c>
      <c r="B733" s="4" t="s">
        <v>118</v>
      </c>
    </row>
    <row r="734" spans="1:2" x14ac:dyDescent="0.4">
      <c r="A734" s="4" t="s">
        <v>118</v>
      </c>
      <c r="B734" s="4" t="s">
        <v>118</v>
      </c>
    </row>
    <row r="735" spans="1:2" x14ac:dyDescent="0.4">
      <c r="A735" s="4" t="s">
        <v>118</v>
      </c>
      <c r="B735" s="4" t="s">
        <v>118</v>
      </c>
    </row>
    <row r="736" spans="1:2" x14ac:dyDescent="0.4">
      <c r="A736" s="4" t="s">
        <v>118</v>
      </c>
      <c r="B736" s="4" t="s">
        <v>118</v>
      </c>
    </row>
    <row r="737" spans="1:2" x14ac:dyDescent="0.4">
      <c r="A737" s="4" t="s">
        <v>118</v>
      </c>
      <c r="B737" s="4" t="s">
        <v>118</v>
      </c>
    </row>
    <row r="738" spans="1:2" x14ac:dyDescent="0.4">
      <c r="A738" s="4" t="s">
        <v>118</v>
      </c>
      <c r="B738" s="4" t="s">
        <v>118</v>
      </c>
    </row>
    <row r="739" spans="1:2" x14ac:dyDescent="0.4">
      <c r="A739" s="4" t="s">
        <v>118</v>
      </c>
      <c r="B739" s="4" t="s">
        <v>118</v>
      </c>
    </row>
    <row r="740" spans="1:2" x14ac:dyDescent="0.4">
      <c r="A740" s="4" t="s">
        <v>118</v>
      </c>
      <c r="B740" s="4" t="s">
        <v>118</v>
      </c>
    </row>
    <row r="741" spans="1:2" x14ac:dyDescent="0.4">
      <c r="A741" s="4" t="s">
        <v>118</v>
      </c>
      <c r="B741" s="4" t="s">
        <v>118</v>
      </c>
    </row>
    <row r="742" spans="1:2" x14ac:dyDescent="0.4">
      <c r="A742" s="4" t="s">
        <v>118</v>
      </c>
      <c r="B742" s="4" t="s">
        <v>118</v>
      </c>
    </row>
    <row r="743" spans="1:2" x14ac:dyDescent="0.4">
      <c r="A743" s="4" t="s">
        <v>118</v>
      </c>
      <c r="B743" s="4" t="s">
        <v>118</v>
      </c>
    </row>
    <row r="744" spans="1:2" x14ac:dyDescent="0.4">
      <c r="A744" s="4" t="s">
        <v>118</v>
      </c>
      <c r="B744" s="4" t="s">
        <v>118</v>
      </c>
    </row>
    <row r="745" spans="1:2" x14ac:dyDescent="0.4">
      <c r="A745" s="4" t="s">
        <v>118</v>
      </c>
      <c r="B745" s="4" t="s">
        <v>118</v>
      </c>
    </row>
    <row r="746" spans="1:2" x14ac:dyDescent="0.4">
      <c r="A746" s="4" t="s">
        <v>118</v>
      </c>
      <c r="B746" s="4" t="s">
        <v>118</v>
      </c>
    </row>
    <row r="747" spans="1:2" x14ac:dyDescent="0.4">
      <c r="A747" s="4" t="s">
        <v>118</v>
      </c>
      <c r="B747" s="4" t="s">
        <v>118</v>
      </c>
    </row>
    <row r="748" spans="1:2" x14ac:dyDescent="0.4">
      <c r="A748" s="4" t="s">
        <v>118</v>
      </c>
      <c r="B748" s="4" t="s">
        <v>118</v>
      </c>
    </row>
    <row r="749" spans="1:2" x14ac:dyDescent="0.4">
      <c r="A749" s="4" t="s">
        <v>118</v>
      </c>
      <c r="B749" s="4" t="s">
        <v>118</v>
      </c>
    </row>
    <row r="750" spans="1:2" x14ac:dyDescent="0.4">
      <c r="A750" s="4" t="s">
        <v>118</v>
      </c>
      <c r="B750" s="4" t="s">
        <v>118</v>
      </c>
    </row>
    <row r="751" spans="1:2" x14ac:dyDescent="0.4">
      <c r="A751" s="4" t="s">
        <v>118</v>
      </c>
      <c r="B751" s="4" t="s">
        <v>118</v>
      </c>
    </row>
    <row r="752" spans="1:2" x14ac:dyDescent="0.4">
      <c r="A752" s="4" t="s">
        <v>118</v>
      </c>
      <c r="B752" s="4" t="s">
        <v>118</v>
      </c>
    </row>
    <row r="753" spans="1:2" x14ac:dyDescent="0.4">
      <c r="A753" s="4" t="s">
        <v>118</v>
      </c>
      <c r="B753" s="4" t="s">
        <v>118</v>
      </c>
    </row>
    <row r="754" spans="1:2" x14ac:dyDescent="0.4">
      <c r="A754" s="4" t="s">
        <v>118</v>
      </c>
      <c r="B754" s="4" t="s">
        <v>118</v>
      </c>
    </row>
    <row r="755" spans="1:2" x14ac:dyDescent="0.4">
      <c r="A755" s="4" t="s">
        <v>118</v>
      </c>
      <c r="B755" s="4" t="s">
        <v>118</v>
      </c>
    </row>
    <row r="756" spans="1:2" x14ac:dyDescent="0.4">
      <c r="A756" s="4" t="s">
        <v>118</v>
      </c>
      <c r="B756" s="4" t="s">
        <v>118</v>
      </c>
    </row>
    <row r="757" spans="1:2" x14ac:dyDescent="0.4">
      <c r="A757" s="4" t="s">
        <v>118</v>
      </c>
      <c r="B757" s="4" t="s">
        <v>118</v>
      </c>
    </row>
    <row r="758" spans="1:2" x14ac:dyDescent="0.4">
      <c r="A758" s="4" t="s">
        <v>118</v>
      </c>
      <c r="B758" s="4" t="s">
        <v>118</v>
      </c>
    </row>
    <row r="759" spans="1:2" x14ac:dyDescent="0.4">
      <c r="A759" s="4" t="s">
        <v>118</v>
      </c>
      <c r="B759" s="4" t="s">
        <v>118</v>
      </c>
    </row>
    <row r="760" spans="1:2" x14ac:dyDescent="0.4">
      <c r="A760" s="4" t="s">
        <v>118</v>
      </c>
      <c r="B760" s="4" t="s">
        <v>118</v>
      </c>
    </row>
    <row r="761" spans="1:2" x14ac:dyDescent="0.4">
      <c r="A761" s="4" t="s">
        <v>118</v>
      </c>
      <c r="B761" s="4" t="s">
        <v>118</v>
      </c>
    </row>
    <row r="762" spans="1:2" x14ac:dyDescent="0.4">
      <c r="A762" s="4" t="s">
        <v>118</v>
      </c>
      <c r="B762" s="4" t="s">
        <v>118</v>
      </c>
    </row>
    <row r="763" spans="1:2" x14ac:dyDescent="0.4">
      <c r="A763" s="4" t="s">
        <v>118</v>
      </c>
      <c r="B763" s="4" t="s">
        <v>118</v>
      </c>
    </row>
    <row r="764" spans="1:2" x14ac:dyDescent="0.4">
      <c r="A764" s="4" t="s">
        <v>118</v>
      </c>
      <c r="B764" s="4" t="s">
        <v>118</v>
      </c>
    </row>
    <row r="765" spans="1:2" x14ac:dyDescent="0.4">
      <c r="A765" s="4" t="s">
        <v>118</v>
      </c>
      <c r="B765" s="4" t="s">
        <v>118</v>
      </c>
    </row>
    <row r="766" spans="1:2" x14ac:dyDescent="0.4">
      <c r="A766" s="4" t="s">
        <v>118</v>
      </c>
      <c r="B766" s="4" t="s">
        <v>118</v>
      </c>
    </row>
    <row r="767" spans="1:2" x14ac:dyDescent="0.4">
      <c r="A767" s="4" t="s">
        <v>118</v>
      </c>
      <c r="B767" s="4" t="s">
        <v>118</v>
      </c>
    </row>
    <row r="768" spans="1:2" x14ac:dyDescent="0.4">
      <c r="A768" s="4" t="s">
        <v>118</v>
      </c>
      <c r="B768" s="4" t="s">
        <v>118</v>
      </c>
    </row>
    <row r="769" spans="1:2" x14ac:dyDescent="0.4">
      <c r="A769" s="4" t="s">
        <v>118</v>
      </c>
      <c r="B769" s="4" t="s">
        <v>118</v>
      </c>
    </row>
    <row r="770" spans="1:2" x14ac:dyDescent="0.4">
      <c r="A770" s="4" t="s">
        <v>118</v>
      </c>
      <c r="B770" s="4" t="s">
        <v>118</v>
      </c>
    </row>
    <row r="771" spans="1:2" x14ac:dyDescent="0.4">
      <c r="A771" s="4" t="s">
        <v>118</v>
      </c>
      <c r="B771" s="4" t="s">
        <v>118</v>
      </c>
    </row>
    <row r="772" spans="1:2" x14ac:dyDescent="0.4">
      <c r="A772" s="4" t="s">
        <v>118</v>
      </c>
      <c r="B772" s="4" t="s">
        <v>118</v>
      </c>
    </row>
    <row r="773" spans="1:2" x14ac:dyDescent="0.4">
      <c r="A773" s="4" t="s">
        <v>118</v>
      </c>
      <c r="B773" s="4" t="s">
        <v>118</v>
      </c>
    </row>
    <row r="774" spans="1:2" x14ac:dyDescent="0.4">
      <c r="A774" s="4" t="s">
        <v>118</v>
      </c>
      <c r="B774" s="4" t="s">
        <v>118</v>
      </c>
    </row>
    <row r="775" spans="1:2" x14ac:dyDescent="0.4">
      <c r="A775" s="4" t="s">
        <v>118</v>
      </c>
      <c r="B775" s="4" t="s">
        <v>118</v>
      </c>
    </row>
    <row r="776" spans="1:2" x14ac:dyDescent="0.4">
      <c r="A776" s="4" t="s">
        <v>118</v>
      </c>
      <c r="B776" s="4" t="s">
        <v>118</v>
      </c>
    </row>
    <row r="777" spans="1:2" x14ac:dyDescent="0.4">
      <c r="A777" s="4" t="s">
        <v>118</v>
      </c>
      <c r="B777" s="4" t="s">
        <v>118</v>
      </c>
    </row>
    <row r="778" spans="1:2" x14ac:dyDescent="0.4">
      <c r="A778" s="4" t="s">
        <v>118</v>
      </c>
      <c r="B778" s="4" t="s">
        <v>118</v>
      </c>
    </row>
    <row r="779" spans="1:2" x14ac:dyDescent="0.4">
      <c r="A779" s="4" t="s">
        <v>118</v>
      </c>
      <c r="B779" s="4" t="s">
        <v>118</v>
      </c>
    </row>
    <row r="780" spans="1:2" x14ac:dyDescent="0.4">
      <c r="A780" s="4" t="s">
        <v>118</v>
      </c>
      <c r="B780" s="4" t="s">
        <v>118</v>
      </c>
    </row>
    <row r="781" spans="1:2" x14ac:dyDescent="0.4">
      <c r="A781" s="4" t="s">
        <v>118</v>
      </c>
      <c r="B781" s="4" t="s">
        <v>118</v>
      </c>
    </row>
    <row r="782" spans="1:2" x14ac:dyDescent="0.4">
      <c r="A782" s="4" t="s">
        <v>118</v>
      </c>
      <c r="B782" s="4" t="s">
        <v>118</v>
      </c>
    </row>
    <row r="783" spans="1:2" x14ac:dyDescent="0.4">
      <c r="A783" s="4" t="s">
        <v>118</v>
      </c>
      <c r="B783" s="4" t="s">
        <v>118</v>
      </c>
    </row>
    <row r="784" spans="1:2" x14ac:dyDescent="0.4">
      <c r="A784" s="4" t="s">
        <v>118</v>
      </c>
      <c r="B784" s="4" t="s">
        <v>118</v>
      </c>
    </row>
    <row r="785" spans="1:2" x14ac:dyDescent="0.4">
      <c r="A785" s="4" t="s">
        <v>118</v>
      </c>
      <c r="B785" s="4" t="s">
        <v>118</v>
      </c>
    </row>
    <row r="786" spans="1:2" x14ac:dyDescent="0.4">
      <c r="A786" s="4" t="s">
        <v>118</v>
      </c>
      <c r="B786" s="4" t="s">
        <v>118</v>
      </c>
    </row>
    <row r="787" spans="1:2" x14ac:dyDescent="0.4">
      <c r="A787" s="4" t="s">
        <v>118</v>
      </c>
      <c r="B787" s="4" t="s">
        <v>118</v>
      </c>
    </row>
    <row r="788" spans="1:2" x14ac:dyDescent="0.4">
      <c r="A788" s="4" t="s">
        <v>118</v>
      </c>
      <c r="B788" s="4" t="s">
        <v>118</v>
      </c>
    </row>
    <row r="789" spans="1:2" x14ac:dyDescent="0.4">
      <c r="A789" s="4" t="s">
        <v>118</v>
      </c>
      <c r="B789" s="4" t="s">
        <v>118</v>
      </c>
    </row>
    <row r="790" spans="1:2" x14ac:dyDescent="0.4">
      <c r="A790" s="4" t="s">
        <v>118</v>
      </c>
      <c r="B790" s="4" t="s">
        <v>118</v>
      </c>
    </row>
    <row r="791" spans="1:2" x14ac:dyDescent="0.4">
      <c r="A791" s="4" t="s">
        <v>118</v>
      </c>
      <c r="B791" s="4" t="s">
        <v>118</v>
      </c>
    </row>
    <row r="792" spans="1:2" x14ac:dyDescent="0.4">
      <c r="A792" s="4" t="s">
        <v>118</v>
      </c>
      <c r="B792" s="4" t="s">
        <v>118</v>
      </c>
    </row>
    <row r="793" spans="1:2" x14ac:dyDescent="0.4">
      <c r="A793" s="4" t="s">
        <v>118</v>
      </c>
      <c r="B793" s="4" t="s">
        <v>118</v>
      </c>
    </row>
    <row r="794" spans="1:2" x14ac:dyDescent="0.4">
      <c r="A794" s="4" t="s">
        <v>118</v>
      </c>
      <c r="B794" s="4" t="s">
        <v>118</v>
      </c>
    </row>
    <row r="795" spans="1:2" x14ac:dyDescent="0.4">
      <c r="A795" s="4" t="s">
        <v>118</v>
      </c>
      <c r="B795" s="4" t="s">
        <v>118</v>
      </c>
    </row>
    <row r="796" spans="1:2" x14ac:dyDescent="0.4">
      <c r="A796" s="4" t="s">
        <v>118</v>
      </c>
      <c r="B796" s="4" t="s">
        <v>118</v>
      </c>
    </row>
    <row r="797" spans="1:2" x14ac:dyDescent="0.4">
      <c r="A797" s="4" t="s">
        <v>118</v>
      </c>
      <c r="B797" s="4" t="s">
        <v>118</v>
      </c>
    </row>
    <row r="798" spans="1:2" x14ac:dyDescent="0.4">
      <c r="A798" s="4" t="s">
        <v>118</v>
      </c>
      <c r="B798" s="4" t="s">
        <v>118</v>
      </c>
    </row>
    <row r="799" spans="1:2" x14ac:dyDescent="0.4">
      <c r="A799" s="4" t="s">
        <v>118</v>
      </c>
      <c r="B799" s="4" t="s">
        <v>118</v>
      </c>
    </row>
    <row r="800" spans="1:2" x14ac:dyDescent="0.4">
      <c r="A800" s="4" t="s">
        <v>118</v>
      </c>
      <c r="B800" s="4" t="s">
        <v>118</v>
      </c>
    </row>
    <row r="801" spans="1:2" x14ac:dyDescent="0.4">
      <c r="A801" s="4" t="s">
        <v>118</v>
      </c>
      <c r="B801" s="4" t="s">
        <v>118</v>
      </c>
    </row>
    <row r="802" spans="1:2" x14ac:dyDescent="0.4">
      <c r="A802" s="4" t="s">
        <v>118</v>
      </c>
      <c r="B802" s="4" t="s">
        <v>118</v>
      </c>
    </row>
    <row r="803" spans="1:2" x14ac:dyDescent="0.4">
      <c r="A803" s="4" t="s">
        <v>118</v>
      </c>
      <c r="B803" s="4" t="s">
        <v>118</v>
      </c>
    </row>
    <row r="804" spans="1:2" x14ac:dyDescent="0.4">
      <c r="A804" s="4" t="s">
        <v>118</v>
      </c>
      <c r="B804" s="4" t="s">
        <v>118</v>
      </c>
    </row>
    <row r="805" spans="1:2" x14ac:dyDescent="0.4">
      <c r="A805" s="4" t="s">
        <v>118</v>
      </c>
      <c r="B805" s="4" t="s">
        <v>118</v>
      </c>
    </row>
    <row r="806" spans="1:2" x14ac:dyDescent="0.4">
      <c r="A806" s="4" t="s">
        <v>118</v>
      </c>
      <c r="B806" s="4" t="s">
        <v>118</v>
      </c>
    </row>
    <row r="807" spans="1:2" x14ac:dyDescent="0.4">
      <c r="A807" s="4" t="s">
        <v>118</v>
      </c>
      <c r="B807" s="4" t="s">
        <v>118</v>
      </c>
    </row>
    <row r="808" spans="1:2" x14ac:dyDescent="0.4">
      <c r="A808" s="4" t="s">
        <v>118</v>
      </c>
      <c r="B808" s="4" t="s">
        <v>118</v>
      </c>
    </row>
    <row r="809" spans="1:2" x14ac:dyDescent="0.4">
      <c r="A809" s="4" t="s">
        <v>118</v>
      </c>
      <c r="B809" s="4" t="s">
        <v>118</v>
      </c>
    </row>
    <row r="810" spans="1:2" x14ac:dyDescent="0.4">
      <c r="A810" s="4" t="s">
        <v>118</v>
      </c>
      <c r="B810" s="4" t="s">
        <v>118</v>
      </c>
    </row>
    <row r="811" spans="1:2" x14ac:dyDescent="0.4">
      <c r="A811" s="4" t="s">
        <v>118</v>
      </c>
      <c r="B811" s="4" t="s">
        <v>118</v>
      </c>
    </row>
    <row r="812" spans="1:2" x14ac:dyDescent="0.4">
      <c r="A812" s="4" t="s">
        <v>118</v>
      </c>
      <c r="B812" s="4" t="s">
        <v>118</v>
      </c>
    </row>
    <row r="813" spans="1:2" x14ac:dyDescent="0.4">
      <c r="A813" s="4" t="s">
        <v>118</v>
      </c>
      <c r="B813" s="4" t="s">
        <v>118</v>
      </c>
    </row>
    <row r="814" spans="1:2" x14ac:dyDescent="0.4">
      <c r="A814" s="4" t="s">
        <v>118</v>
      </c>
      <c r="B814" s="4" t="s">
        <v>118</v>
      </c>
    </row>
    <row r="815" spans="1:2" x14ac:dyDescent="0.4">
      <c r="A815" s="4" t="s">
        <v>118</v>
      </c>
      <c r="B815" s="4" t="s">
        <v>118</v>
      </c>
    </row>
    <row r="816" spans="1:2" x14ac:dyDescent="0.4">
      <c r="A816" s="4" t="s">
        <v>118</v>
      </c>
      <c r="B816" s="4" t="s">
        <v>118</v>
      </c>
    </row>
    <row r="817" spans="1:2" x14ac:dyDescent="0.4">
      <c r="A817" s="4" t="s">
        <v>118</v>
      </c>
      <c r="B817" s="4" t="s">
        <v>118</v>
      </c>
    </row>
    <row r="818" spans="1:2" x14ac:dyDescent="0.4">
      <c r="A818" s="4" t="s">
        <v>118</v>
      </c>
      <c r="B818" s="4" t="s">
        <v>118</v>
      </c>
    </row>
    <row r="819" spans="1:2" x14ac:dyDescent="0.4">
      <c r="A819" s="4" t="s">
        <v>118</v>
      </c>
      <c r="B819" s="4" t="s">
        <v>118</v>
      </c>
    </row>
    <row r="820" spans="1:2" x14ac:dyDescent="0.4">
      <c r="A820" s="4" t="s">
        <v>118</v>
      </c>
      <c r="B820" s="4" t="s">
        <v>118</v>
      </c>
    </row>
    <row r="821" spans="1:2" x14ac:dyDescent="0.4">
      <c r="A821" s="4" t="s">
        <v>118</v>
      </c>
      <c r="B821" s="4" t="s">
        <v>118</v>
      </c>
    </row>
    <row r="822" spans="1:2" x14ac:dyDescent="0.4">
      <c r="A822" s="4" t="s">
        <v>118</v>
      </c>
      <c r="B822" s="4" t="s">
        <v>118</v>
      </c>
    </row>
    <row r="823" spans="1:2" x14ac:dyDescent="0.4">
      <c r="A823" s="4" t="s">
        <v>118</v>
      </c>
      <c r="B823" s="4" t="s">
        <v>118</v>
      </c>
    </row>
    <row r="824" spans="1:2" x14ac:dyDescent="0.4">
      <c r="A824" s="4" t="s">
        <v>118</v>
      </c>
      <c r="B824" s="4" t="s">
        <v>118</v>
      </c>
    </row>
    <row r="825" spans="1:2" x14ac:dyDescent="0.4">
      <c r="A825" s="4" t="s">
        <v>118</v>
      </c>
      <c r="B825" s="4" t="s">
        <v>118</v>
      </c>
    </row>
    <row r="826" spans="1:2" x14ac:dyDescent="0.4">
      <c r="A826" s="4" t="s">
        <v>118</v>
      </c>
      <c r="B826" s="4" t="s">
        <v>118</v>
      </c>
    </row>
    <row r="827" spans="1:2" x14ac:dyDescent="0.4">
      <c r="A827" s="4" t="s">
        <v>118</v>
      </c>
      <c r="B827" s="4" t="s">
        <v>118</v>
      </c>
    </row>
    <row r="828" spans="1:2" x14ac:dyDescent="0.4">
      <c r="A828" s="4" t="s">
        <v>118</v>
      </c>
      <c r="B828" s="4" t="s">
        <v>118</v>
      </c>
    </row>
    <row r="829" spans="1:2" x14ac:dyDescent="0.4">
      <c r="A829" s="4" t="s">
        <v>118</v>
      </c>
      <c r="B829" s="4" t="s">
        <v>118</v>
      </c>
    </row>
    <row r="830" spans="1:2" x14ac:dyDescent="0.4">
      <c r="A830" s="4" t="s">
        <v>118</v>
      </c>
      <c r="B830" s="4" t="s">
        <v>118</v>
      </c>
    </row>
    <row r="831" spans="1:2" x14ac:dyDescent="0.4">
      <c r="A831" s="4" t="s">
        <v>118</v>
      </c>
      <c r="B831" s="4" t="s">
        <v>118</v>
      </c>
    </row>
    <row r="832" spans="1:2" x14ac:dyDescent="0.4">
      <c r="A832" s="4" t="s">
        <v>118</v>
      </c>
      <c r="B832" s="4" t="s">
        <v>118</v>
      </c>
    </row>
    <row r="833" spans="1:2" x14ac:dyDescent="0.4">
      <c r="A833" s="4" t="s">
        <v>118</v>
      </c>
      <c r="B833" s="4" t="s">
        <v>118</v>
      </c>
    </row>
    <row r="834" spans="1:2" x14ac:dyDescent="0.4">
      <c r="A834" s="4" t="s">
        <v>118</v>
      </c>
      <c r="B834" s="4" t="s">
        <v>118</v>
      </c>
    </row>
    <row r="835" spans="1:2" x14ac:dyDescent="0.4">
      <c r="A835" s="4" t="s">
        <v>118</v>
      </c>
      <c r="B835" s="4" t="s">
        <v>118</v>
      </c>
    </row>
    <row r="836" spans="1:2" x14ac:dyDescent="0.4">
      <c r="A836" s="4" t="s">
        <v>118</v>
      </c>
      <c r="B836" s="4" t="s">
        <v>118</v>
      </c>
    </row>
    <row r="837" spans="1:2" x14ac:dyDescent="0.4">
      <c r="A837" s="4" t="s">
        <v>118</v>
      </c>
      <c r="B837" s="4" t="s">
        <v>118</v>
      </c>
    </row>
    <row r="838" spans="1:2" x14ac:dyDescent="0.4">
      <c r="A838" s="4" t="s">
        <v>118</v>
      </c>
      <c r="B838" s="4" t="s">
        <v>118</v>
      </c>
    </row>
    <row r="839" spans="1:2" x14ac:dyDescent="0.4">
      <c r="A839" s="4" t="s">
        <v>118</v>
      </c>
      <c r="B839" s="4" t="s">
        <v>118</v>
      </c>
    </row>
    <row r="840" spans="1:2" x14ac:dyDescent="0.4">
      <c r="A840" s="4" t="s">
        <v>118</v>
      </c>
      <c r="B840" s="4" t="s">
        <v>118</v>
      </c>
    </row>
    <row r="841" spans="1:2" x14ac:dyDescent="0.4">
      <c r="A841" s="4" t="s">
        <v>118</v>
      </c>
      <c r="B841" s="4" t="s">
        <v>118</v>
      </c>
    </row>
    <row r="842" spans="1:2" x14ac:dyDescent="0.4">
      <c r="A842" s="4" t="s">
        <v>118</v>
      </c>
      <c r="B842" s="4" t="s">
        <v>118</v>
      </c>
    </row>
    <row r="843" spans="1:2" x14ac:dyDescent="0.4">
      <c r="A843" s="4" t="s">
        <v>118</v>
      </c>
      <c r="B843" s="4" t="s">
        <v>118</v>
      </c>
    </row>
    <row r="844" spans="1:2" x14ac:dyDescent="0.4">
      <c r="A844" s="4" t="s">
        <v>118</v>
      </c>
      <c r="B844" s="4" t="s">
        <v>118</v>
      </c>
    </row>
    <row r="845" spans="1:2" x14ac:dyDescent="0.4">
      <c r="A845" s="4" t="s">
        <v>118</v>
      </c>
      <c r="B845" s="4" t="s">
        <v>118</v>
      </c>
    </row>
    <row r="846" spans="1:2" x14ac:dyDescent="0.4">
      <c r="A846" s="4" t="s">
        <v>118</v>
      </c>
      <c r="B846" s="4" t="s">
        <v>118</v>
      </c>
    </row>
    <row r="847" spans="1:2" x14ac:dyDescent="0.4">
      <c r="A847" s="4" t="s">
        <v>118</v>
      </c>
      <c r="B847" s="4" t="s">
        <v>118</v>
      </c>
    </row>
    <row r="848" spans="1:2" x14ac:dyDescent="0.4">
      <c r="A848" s="4" t="s">
        <v>118</v>
      </c>
      <c r="B848" s="4" t="s">
        <v>118</v>
      </c>
    </row>
    <row r="849" spans="1:2" x14ac:dyDescent="0.4">
      <c r="A849" s="4" t="s">
        <v>118</v>
      </c>
      <c r="B849" s="4" t="s">
        <v>118</v>
      </c>
    </row>
    <row r="850" spans="1:2" x14ac:dyDescent="0.4">
      <c r="A850" s="4" t="s">
        <v>118</v>
      </c>
      <c r="B850" s="4" t="s">
        <v>118</v>
      </c>
    </row>
    <row r="851" spans="1:2" x14ac:dyDescent="0.4">
      <c r="A851" s="4" t="s">
        <v>118</v>
      </c>
      <c r="B851" s="4" t="s">
        <v>118</v>
      </c>
    </row>
    <row r="852" spans="1:2" x14ac:dyDescent="0.4">
      <c r="A852" s="4" t="s">
        <v>118</v>
      </c>
      <c r="B852" s="4" t="s">
        <v>118</v>
      </c>
    </row>
    <row r="853" spans="1:2" x14ac:dyDescent="0.4">
      <c r="A853" s="4" t="s">
        <v>118</v>
      </c>
      <c r="B853" s="4" t="s">
        <v>118</v>
      </c>
    </row>
    <row r="854" spans="1:2" x14ac:dyDescent="0.4">
      <c r="A854" s="4" t="s">
        <v>118</v>
      </c>
      <c r="B854" s="4" t="s">
        <v>118</v>
      </c>
    </row>
    <row r="855" spans="1:2" x14ac:dyDescent="0.4">
      <c r="A855" s="4" t="s">
        <v>118</v>
      </c>
      <c r="B855" s="4" t="s">
        <v>118</v>
      </c>
    </row>
    <row r="856" spans="1:2" x14ac:dyDescent="0.4">
      <c r="A856" s="4" t="s">
        <v>118</v>
      </c>
      <c r="B856" s="4" t="s">
        <v>118</v>
      </c>
    </row>
    <row r="857" spans="1:2" x14ac:dyDescent="0.4">
      <c r="A857" s="4" t="s">
        <v>118</v>
      </c>
      <c r="B857" s="4" t="s">
        <v>118</v>
      </c>
    </row>
    <row r="858" spans="1:2" x14ac:dyDescent="0.4">
      <c r="A858" s="4" t="s">
        <v>118</v>
      </c>
      <c r="B858" s="4" t="s">
        <v>118</v>
      </c>
    </row>
    <row r="859" spans="1:2" x14ac:dyDescent="0.4">
      <c r="A859" s="4" t="s">
        <v>118</v>
      </c>
      <c r="B859" s="4" t="s">
        <v>118</v>
      </c>
    </row>
    <row r="860" spans="1:2" x14ac:dyDescent="0.4">
      <c r="A860" s="4" t="s">
        <v>118</v>
      </c>
      <c r="B860" s="4" t="s">
        <v>118</v>
      </c>
    </row>
    <row r="861" spans="1:2" x14ac:dyDescent="0.4">
      <c r="A861" s="4" t="s">
        <v>118</v>
      </c>
      <c r="B861" s="4" t="s">
        <v>118</v>
      </c>
    </row>
    <row r="862" spans="1:2" x14ac:dyDescent="0.4">
      <c r="A862" s="4" t="s">
        <v>118</v>
      </c>
      <c r="B862" s="4" t="s">
        <v>118</v>
      </c>
    </row>
    <row r="863" spans="1:2" x14ac:dyDescent="0.4">
      <c r="A863" s="4" t="s">
        <v>118</v>
      </c>
      <c r="B863" s="4" t="s">
        <v>118</v>
      </c>
    </row>
    <row r="864" spans="1:2" x14ac:dyDescent="0.4">
      <c r="A864" s="4" t="s">
        <v>118</v>
      </c>
      <c r="B864" s="4" t="s">
        <v>118</v>
      </c>
    </row>
    <row r="865" spans="1:2" x14ac:dyDescent="0.4">
      <c r="A865" s="4" t="s">
        <v>118</v>
      </c>
      <c r="B865" s="4" t="s">
        <v>118</v>
      </c>
    </row>
    <row r="866" spans="1:2" x14ac:dyDescent="0.4">
      <c r="A866" s="4" t="s">
        <v>118</v>
      </c>
      <c r="B866" s="4" t="s">
        <v>118</v>
      </c>
    </row>
    <row r="867" spans="1:2" x14ac:dyDescent="0.4">
      <c r="A867" s="4" t="s">
        <v>118</v>
      </c>
      <c r="B867" s="4" t="s">
        <v>118</v>
      </c>
    </row>
    <row r="868" spans="1:2" x14ac:dyDescent="0.4">
      <c r="A868" s="4" t="s">
        <v>118</v>
      </c>
      <c r="B868" s="4" t="s">
        <v>118</v>
      </c>
    </row>
    <row r="869" spans="1:2" x14ac:dyDescent="0.4">
      <c r="A869" s="4" t="s">
        <v>118</v>
      </c>
      <c r="B869" s="4" t="s">
        <v>118</v>
      </c>
    </row>
    <row r="870" spans="1:2" x14ac:dyDescent="0.4">
      <c r="A870" s="4" t="s">
        <v>118</v>
      </c>
      <c r="B870" s="4" t="s">
        <v>118</v>
      </c>
    </row>
    <row r="871" spans="1:2" x14ac:dyDescent="0.4">
      <c r="A871" s="4" t="s">
        <v>118</v>
      </c>
      <c r="B871" s="4" t="s">
        <v>118</v>
      </c>
    </row>
    <row r="872" spans="1:2" x14ac:dyDescent="0.4">
      <c r="A872" s="4" t="s">
        <v>118</v>
      </c>
      <c r="B872" s="4" t="s">
        <v>118</v>
      </c>
    </row>
    <row r="873" spans="1:2" x14ac:dyDescent="0.4">
      <c r="A873" s="4" t="s">
        <v>118</v>
      </c>
      <c r="B873" s="4" t="s">
        <v>118</v>
      </c>
    </row>
    <row r="874" spans="1:2" x14ac:dyDescent="0.4">
      <c r="A874" s="4" t="s">
        <v>118</v>
      </c>
      <c r="B874" s="4" t="s">
        <v>118</v>
      </c>
    </row>
    <row r="875" spans="1:2" x14ac:dyDescent="0.4">
      <c r="A875" s="4" t="s">
        <v>118</v>
      </c>
      <c r="B875" s="4" t="s">
        <v>118</v>
      </c>
    </row>
    <row r="876" spans="1:2" x14ac:dyDescent="0.4">
      <c r="A876" s="4" t="s">
        <v>118</v>
      </c>
      <c r="B876" s="4" t="s">
        <v>118</v>
      </c>
    </row>
    <row r="877" spans="1:2" x14ac:dyDescent="0.4">
      <c r="A877" s="4" t="s">
        <v>118</v>
      </c>
      <c r="B877" s="4" t="s">
        <v>118</v>
      </c>
    </row>
    <row r="878" spans="1:2" x14ac:dyDescent="0.4">
      <c r="A878" s="4" t="s">
        <v>118</v>
      </c>
      <c r="B878" s="4" t="s">
        <v>118</v>
      </c>
    </row>
    <row r="879" spans="1:2" x14ac:dyDescent="0.4">
      <c r="A879" s="4" t="s">
        <v>118</v>
      </c>
      <c r="B879" s="4" t="s">
        <v>118</v>
      </c>
    </row>
    <row r="880" spans="1:2" x14ac:dyDescent="0.4">
      <c r="A880" s="4" t="s">
        <v>118</v>
      </c>
      <c r="B880" s="4" t="s">
        <v>118</v>
      </c>
    </row>
    <row r="881" spans="1:2" x14ac:dyDescent="0.4">
      <c r="A881" s="4" t="s">
        <v>118</v>
      </c>
      <c r="B881" s="4" t="s">
        <v>118</v>
      </c>
    </row>
    <row r="882" spans="1:2" x14ac:dyDescent="0.4">
      <c r="A882" s="4" t="s">
        <v>118</v>
      </c>
      <c r="B882" s="4" t="s">
        <v>118</v>
      </c>
    </row>
    <row r="883" spans="1:2" x14ac:dyDescent="0.4">
      <c r="A883" s="4" t="s">
        <v>118</v>
      </c>
      <c r="B883" s="4" t="s">
        <v>118</v>
      </c>
    </row>
    <row r="884" spans="1:2" x14ac:dyDescent="0.4">
      <c r="A884" s="4" t="s">
        <v>118</v>
      </c>
      <c r="B884" s="4" t="s">
        <v>118</v>
      </c>
    </row>
    <row r="885" spans="1:2" x14ac:dyDescent="0.4">
      <c r="A885" s="4" t="s">
        <v>118</v>
      </c>
      <c r="B885" s="4" t="s">
        <v>118</v>
      </c>
    </row>
    <row r="886" spans="1:2" x14ac:dyDescent="0.4">
      <c r="A886" s="4" t="s">
        <v>118</v>
      </c>
      <c r="B886" s="4" t="s">
        <v>118</v>
      </c>
    </row>
    <row r="887" spans="1:2" x14ac:dyDescent="0.4">
      <c r="A887" s="4" t="s">
        <v>118</v>
      </c>
      <c r="B887" s="4" t="s">
        <v>118</v>
      </c>
    </row>
    <row r="888" spans="1:2" x14ac:dyDescent="0.4">
      <c r="A888" s="4" t="s">
        <v>118</v>
      </c>
      <c r="B888" s="4" t="s">
        <v>118</v>
      </c>
    </row>
    <row r="889" spans="1:2" x14ac:dyDescent="0.4">
      <c r="A889" s="4" t="s">
        <v>118</v>
      </c>
      <c r="B889" s="4" t="s">
        <v>118</v>
      </c>
    </row>
    <row r="890" spans="1:2" x14ac:dyDescent="0.4">
      <c r="A890" s="4" t="s">
        <v>118</v>
      </c>
      <c r="B890" s="4" t="s">
        <v>118</v>
      </c>
    </row>
    <row r="891" spans="1:2" x14ac:dyDescent="0.4">
      <c r="A891" s="4" t="s">
        <v>118</v>
      </c>
      <c r="B891" s="4" t="s">
        <v>118</v>
      </c>
    </row>
    <row r="892" spans="1:2" x14ac:dyDescent="0.4">
      <c r="A892" s="4" t="s">
        <v>118</v>
      </c>
      <c r="B892" s="4" t="s">
        <v>118</v>
      </c>
    </row>
    <row r="893" spans="1:2" x14ac:dyDescent="0.4">
      <c r="A893" s="4" t="s">
        <v>118</v>
      </c>
      <c r="B893" s="4" t="s">
        <v>118</v>
      </c>
    </row>
    <row r="894" spans="1:2" x14ac:dyDescent="0.4">
      <c r="A894" s="4" t="s">
        <v>118</v>
      </c>
      <c r="B894" s="4" t="s">
        <v>118</v>
      </c>
    </row>
    <row r="895" spans="1:2" x14ac:dyDescent="0.4">
      <c r="A895" s="4" t="s">
        <v>118</v>
      </c>
      <c r="B895" s="4" t="s">
        <v>118</v>
      </c>
    </row>
    <row r="896" spans="1:2" x14ac:dyDescent="0.4">
      <c r="A896" s="4" t="s">
        <v>118</v>
      </c>
      <c r="B896" s="4" t="s">
        <v>118</v>
      </c>
    </row>
    <row r="897" spans="1:2" x14ac:dyDescent="0.4">
      <c r="A897" s="4" t="s">
        <v>118</v>
      </c>
      <c r="B897" s="4" t="s">
        <v>118</v>
      </c>
    </row>
    <row r="898" spans="1:2" x14ac:dyDescent="0.4">
      <c r="A898" s="4" t="s">
        <v>118</v>
      </c>
      <c r="B898" s="4" t="s">
        <v>118</v>
      </c>
    </row>
    <row r="899" spans="1:2" x14ac:dyDescent="0.4">
      <c r="A899" s="4" t="s">
        <v>118</v>
      </c>
      <c r="B899" s="4" t="s">
        <v>118</v>
      </c>
    </row>
    <row r="900" spans="1:2" x14ac:dyDescent="0.4">
      <c r="A900" s="4" t="s">
        <v>118</v>
      </c>
      <c r="B900" s="4" t="s">
        <v>118</v>
      </c>
    </row>
    <row r="901" spans="1:2" x14ac:dyDescent="0.4">
      <c r="A901" s="4" t="s">
        <v>118</v>
      </c>
      <c r="B901" s="4" t="s">
        <v>118</v>
      </c>
    </row>
    <row r="902" spans="1:2" x14ac:dyDescent="0.4">
      <c r="A902" s="4" t="s">
        <v>118</v>
      </c>
      <c r="B902" s="4" t="s">
        <v>118</v>
      </c>
    </row>
    <row r="903" spans="1:2" x14ac:dyDescent="0.4">
      <c r="A903" s="4" t="s">
        <v>118</v>
      </c>
      <c r="B903" s="4" t="s">
        <v>118</v>
      </c>
    </row>
    <row r="904" spans="1:2" x14ac:dyDescent="0.4">
      <c r="A904" s="4" t="s">
        <v>118</v>
      </c>
      <c r="B904" s="4" t="s">
        <v>118</v>
      </c>
    </row>
    <row r="905" spans="1:2" x14ac:dyDescent="0.4">
      <c r="A905" s="4" t="s">
        <v>118</v>
      </c>
      <c r="B905" s="4" t="s">
        <v>118</v>
      </c>
    </row>
    <row r="906" spans="1:2" x14ac:dyDescent="0.4">
      <c r="A906" s="4" t="s">
        <v>118</v>
      </c>
      <c r="B906" s="4" t="s">
        <v>118</v>
      </c>
    </row>
    <row r="907" spans="1:2" x14ac:dyDescent="0.4">
      <c r="A907" s="4" t="s">
        <v>118</v>
      </c>
      <c r="B907" s="4" t="s">
        <v>118</v>
      </c>
    </row>
    <row r="908" spans="1:2" x14ac:dyDescent="0.4">
      <c r="A908" s="4" t="s">
        <v>118</v>
      </c>
      <c r="B908" s="4" t="s">
        <v>118</v>
      </c>
    </row>
    <row r="909" spans="1:2" x14ac:dyDescent="0.4">
      <c r="A909" s="4" t="s">
        <v>118</v>
      </c>
      <c r="B909" s="4" t="s">
        <v>118</v>
      </c>
    </row>
    <row r="910" spans="1:2" x14ac:dyDescent="0.4">
      <c r="A910" s="4" t="s">
        <v>118</v>
      </c>
      <c r="B910" s="4" t="s">
        <v>118</v>
      </c>
    </row>
    <row r="911" spans="1:2" x14ac:dyDescent="0.4">
      <c r="A911" s="4" t="s">
        <v>118</v>
      </c>
      <c r="B911" s="4" t="s">
        <v>118</v>
      </c>
    </row>
    <row r="912" spans="1:2" x14ac:dyDescent="0.4">
      <c r="A912" s="4" t="s">
        <v>118</v>
      </c>
      <c r="B912" s="4" t="s">
        <v>118</v>
      </c>
    </row>
    <row r="913" spans="1:2" x14ac:dyDescent="0.4">
      <c r="A913" s="4" t="s">
        <v>118</v>
      </c>
      <c r="B913" s="4" t="s">
        <v>118</v>
      </c>
    </row>
    <row r="914" spans="1:2" x14ac:dyDescent="0.4">
      <c r="A914" s="4" t="s">
        <v>118</v>
      </c>
      <c r="B914" s="4" t="s">
        <v>118</v>
      </c>
    </row>
    <row r="915" spans="1:2" x14ac:dyDescent="0.4">
      <c r="A915" s="4" t="s">
        <v>118</v>
      </c>
      <c r="B915" s="4" t="s">
        <v>118</v>
      </c>
    </row>
    <row r="916" spans="1:2" x14ac:dyDescent="0.4">
      <c r="A916" s="4" t="s">
        <v>118</v>
      </c>
      <c r="B916" s="4" t="s">
        <v>118</v>
      </c>
    </row>
    <row r="917" spans="1:2" x14ac:dyDescent="0.4">
      <c r="A917" s="4" t="s">
        <v>118</v>
      </c>
      <c r="B917" s="4" t="s">
        <v>118</v>
      </c>
    </row>
    <row r="918" spans="1:2" x14ac:dyDescent="0.4">
      <c r="A918" s="4" t="s">
        <v>118</v>
      </c>
      <c r="B918" s="4" t="s">
        <v>118</v>
      </c>
    </row>
    <row r="919" spans="1:2" x14ac:dyDescent="0.4">
      <c r="A919" s="4" t="s">
        <v>118</v>
      </c>
      <c r="B919" s="4" t="s">
        <v>118</v>
      </c>
    </row>
    <row r="920" spans="1:2" x14ac:dyDescent="0.4">
      <c r="A920" s="4" t="s">
        <v>118</v>
      </c>
      <c r="B920" s="4" t="s">
        <v>118</v>
      </c>
    </row>
    <row r="921" spans="1:2" x14ac:dyDescent="0.4">
      <c r="A921" s="4" t="s">
        <v>118</v>
      </c>
      <c r="B921" s="4" t="s">
        <v>118</v>
      </c>
    </row>
    <row r="922" spans="1:2" x14ac:dyDescent="0.4">
      <c r="A922" s="4" t="s">
        <v>118</v>
      </c>
      <c r="B922" s="4" t="s">
        <v>118</v>
      </c>
    </row>
    <row r="923" spans="1:2" x14ac:dyDescent="0.4">
      <c r="A923" s="4" t="s">
        <v>118</v>
      </c>
      <c r="B923" s="4" t="s">
        <v>118</v>
      </c>
    </row>
    <row r="924" spans="1:2" x14ac:dyDescent="0.4">
      <c r="A924" s="4" t="s">
        <v>118</v>
      </c>
      <c r="B924" s="4" t="s">
        <v>118</v>
      </c>
    </row>
    <row r="925" spans="1:2" x14ac:dyDescent="0.4">
      <c r="A925" s="4" t="s">
        <v>118</v>
      </c>
      <c r="B925" s="4" t="s">
        <v>118</v>
      </c>
    </row>
    <row r="926" spans="1:2" x14ac:dyDescent="0.4">
      <c r="A926" s="4" t="s">
        <v>118</v>
      </c>
      <c r="B926" s="4" t="s">
        <v>118</v>
      </c>
    </row>
    <row r="927" spans="1:2" x14ac:dyDescent="0.4">
      <c r="A927" s="4" t="s">
        <v>118</v>
      </c>
      <c r="B927" s="4" t="s">
        <v>118</v>
      </c>
    </row>
    <row r="928" spans="1:2" x14ac:dyDescent="0.4">
      <c r="A928" s="4" t="s">
        <v>118</v>
      </c>
      <c r="B928" s="4" t="s">
        <v>118</v>
      </c>
    </row>
    <row r="929" spans="1:2" x14ac:dyDescent="0.4">
      <c r="A929" s="4" t="s">
        <v>118</v>
      </c>
      <c r="B929" s="4" t="s">
        <v>118</v>
      </c>
    </row>
    <row r="930" spans="1:2" x14ac:dyDescent="0.4">
      <c r="A930" s="4" t="s">
        <v>118</v>
      </c>
      <c r="B930" s="4" t="s">
        <v>118</v>
      </c>
    </row>
    <row r="931" spans="1:2" x14ac:dyDescent="0.4">
      <c r="A931" s="4" t="s">
        <v>118</v>
      </c>
      <c r="B931" s="4" t="s">
        <v>118</v>
      </c>
    </row>
    <row r="932" spans="1:2" x14ac:dyDescent="0.4">
      <c r="A932" s="4" t="s">
        <v>118</v>
      </c>
      <c r="B932" s="4" t="s">
        <v>118</v>
      </c>
    </row>
    <row r="933" spans="1:2" x14ac:dyDescent="0.4">
      <c r="A933" s="4" t="s">
        <v>118</v>
      </c>
      <c r="B933" s="4" t="s">
        <v>118</v>
      </c>
    </row>
    <row r="934" spans="1:2" x14ac:dyDescent="0.4">
      <c r="A934" s="4" t="s">
        <v>118</v>
      </c>
      <c r="B934" s="4" t="s">
        <v>118</v>
      </c>
    </row>
    <row r="935" spans="1:2" x14ac:dyDescent="0.4">
      <c r="A935" s="4" t="s">
        <v>118</v>
      </c>
      <c r="B935" s="4" t="s">
        <v>118</v>
      </c>
    </row>
    <row r="936" spans="1:2" x14ac:dyDescent="0.4">
      <c r="A936" s="4" t="s">
        <v>118</v>
      </c>
      <c r="B936" s="4" t="s">
        <v>118</v>
      </c>
    </row>
    <row r="937" spans="1:2" x14ac:dyDescent="0.4">
      <c r="A937" s="4" t="s">
        <v>118</v>
      </c>
      <c r="B937" s="4" t="s">
        <v>118</v>
      </c>
    </row>
    <row r="938" spans="1:2" x14ac:dyDescent="0.4">
      <c r="A938" s="4" t="s">
        <v>118</v>
      </c>
      <c r="B938" s="4" t="s">
        <v>118</v>
      </c>
    </row>
    <row r="939" spans="1:2" x14ac:dyDescent="0.4">
      <c r="A939" s="4" t="s">
        <v>118</v>
      </c>
      <c r="B939" s="4" t="s">
        <v>118</v>
      </c>
    </row>
    <row r="940" spans="1:2" x14ac:dyDescent="0.4">
      <c r="A940" s="4" t="s">
        <v>118</v>
      </c>
      <c r="B940" s="4" t="s">
        <v>118</v>
      </c>
    </row>
    <row r="941" spans="1:2" x14ac:dyDescent="0.4">
      <c r="A941" s="4" t="s">
        <v>118</v>
      </c>
      <c r="B941" s="4" t="s">
        <v>118</v>
      </c>
    </row>
    <row r="942" spans="1:2" x14ac:dyDescent="0.4">
      <c r="A942" s="4" t="s">
        <v>118</v>
      </c>
      <c r="B942" s="4" t="s">
        <v>118</v>
      </c>
    </row>
    <row r="943" spans="1:2" x14ac:dyDescent="0.4">
      <c r="A943" s="4" t="s">
        <v>118</v>
      </c>
      <c r="B943" s="4" t="s">
        <v>118</v>
      </c>
    </row>
    <row r="944" spans="1:2" x14ac:dyDescent="0.4">
      <c r="A944" s="4" t="s">
        <v>118</v>
      </c>
      <c r="B944" s="4" t="s">
        <v>118</v>
      </c>
    </row>
    <row r="945" spans="1:2" x14ac:dyDescent="0.4">
      <c r="A945" s="4" t="s">
        <v>118</v>
      </c>
      <c r="B945" s="4" t="s">
        <v>118</v>
      </c>
    </row>
    <row r="946" spans="1:2" x14ac:dyDescent="0.4">
      <c r="A946" s="4" t="s">
        <v>118</v>
      </c>
      <c r="B946" s="4" t="s">
        <v>118</v>
      </c>
    </row>
    <row r="947" spans="1:2" x14ac:dyDescent="0.4">
      <c r="A947" s="4" t="s">
        <v>118</v>
      </c>
      <c r="B947" s="4" t="s">
        <v>118</v>
      </c>
    </row>
    <row r="948" spans="1:2" x14ac:dyDescent="0.4">
      <c r="A948" s="4" t="s">
        <v>118</v>
      </c>
      <c r="B948" s="4" t="s">
        <v>118</v>
      </c>
    </row>
    <row r="949" spans="1:2" x14ac:dyDescent="0.4">
      <c r="A949" s="4" t="s">
        <v>118</v>
      </c>
      <c r="B949" s="4" t="s">
        <v>118</v>
      </c>
    </row>
    <row r="950" spans="1:2" x14ac:dyDescent="0.4">
      <c r="A950" s="4" t="s">
        <v>118</v>
      </c>
      <c r="B950" s="4" t="s">
        <v>118</v>
      </c>
    </row>
    <row r="951" spans="1:2" x14ac:dyDescent="0.4">
      <c r="A951" s="4" t="s">
        <v>118</v>
      </c>
      <c r="B951" s="4" t="s">
        <v>118</v>
      </c>
    </row>
    <row r="952" spans="1:2" x14ac:dyDescent="0.4">
      <c r="A952" s="4" t="s">
        <v>118</v>
      </c>
      <c r="B952" s="4" t="s">
        <v>118</v>
      </c>
    </row>
    <row r="953" spans="1:2" x14ac:dyDescent="0.4">
      <c r="A953" s="4" t="s">
        <v>118</v>
      </c>
      <c r="B953" s="4" t="s">
        <v>118</v>
      </c>
    </row>
    <row r="954" spans="1:2" x14ac:dyDescent="0.4">
      <c r="A954" s="4" t="s">
        <v>118</v>
      </c>
      <c r="B954" s="4" t="s">
        <v>118</v>
      </c>
    </row>
    <row r="955" spans="1:2" x14ac:dyDescent="0.4">
      <c r="A955" s="4" t="s">
        <v>118</v>
      </c>
      <c r="B955" s="4" t="s">
        <v>118</v>
      </c>
    </row>
    <row r="956" spans="1:2" x14ac:dyDescent="0.4">
      <c r="A956" s="4" t="s">
        <v>118</v>
      </c>
      <c r="B956" s="4" t="s">
        <v>118</v>
      </c>
    </row>
    <row r="957" spans="1:2" x14ac:dyDescent="0.4">
      <c r="A957" s="4" t="s">
        <v>118</v>
      </c>
      <c r="B957" s="4" t="s">
        <v>118</v>
      </c>
    </row>
    <row r="958" spans="1:2" x14ac:dyDescent="0.4">
      <c r="A958" s="4" t="s">
        <v>118</v>
      </c>
      <c r="B958" s="4" t="s">
        <v>118</v>
      </c>
    </row>
    <row r="959" spans="1:2" x14ac:dyDescent="0.4">
      <c r="A959" s="4" t="s">
        <v>118</v>
      </c>
      <c r="B959" s="4" t="s">
        <v>118</v>
      </c>
    </row>
    <row r="960" spans="1:2" x14ac:dyDescent="0.4">
      <c r="A960" s="4" t="s">
        <v>118</v>
      </c>
      <c r="B960" s="4" t="s">
        <v>118</v>
      </c>
    </row>
    <row r="961" spans="1:2" x14ac:dyDescent="0.4">
      <c r="A961" s="4" t="s">
        <v>118</v>
      </c>
      <c r="B961" s="4" t="s">
        <v>118</v>
      </c>
    </row>
    <row r="962" spans="1:2" x14ac:dyDescent="0.4">
      <c r="A962" s="4" t="s">
        <v>118</v>
      </c>
      <c r="B962" s="4" t="s">
        <v>118</v>
      </c>
    </row>
    <row r="963" spans="1:2" x14ac:dyDescent="0.4">
      <c r="A963" s="4" t="s">
        <v>118</v>
      </c>
      <c r="B963" s="4" t="s">
        <v>118</v>
      </c>
    </row>
    <row r="964" spans="1:2" x14ac:dyDescent="0.4">
      <c r="A964" s="4" t="s">
        <v>118</v>
      </c>
      <c r="B964" s="4" t="s">
        <v>118</v>
      </c>
    </row>
    <row r="965" spans="1:2" x14ac:dyDescent="0.4">
      <c r="A965" s="4" t="s">
        <v>118</v>
      </c>
      <c r="B965" s="4" t="s">
        <v>118</v>
      </c>
    </row>
    <row r="966" spans="1:2" x14ac:dyDescent="0.4">
      <c r="A966" s="4" t="s">
        <v>118</v>
      </c>
      <c r="B966" s="4" t="s">
        <v>118</v>
      </c>
    </row>
    <row r="967" spans="1:2" x14ac:dyDescent="0.4">
      <c r="A967" s="4" t="s">
        <v>118</v>
      </c>
      <c r="B967" s="4" t="s">
        <v>118</v>
      </c>
    </row>
    <row r="968" spans="1:2" x14ac:dyDescent="0.4">
      <c r="A968" s="4" t="s">
        <v>118</v>
      </c>
      <c r="B968" s="4" t="s">
        <v>118</v>
      </c>
    </row>
    <row r="969" spans="1:2" x14ac:dyDescent="0.4">
      <c r="A969" s="4" t="s">
        <v>118</v>
      </c>
      <c r="B969" s="4" t="s">
        <v>118</v>
      </c>
    </row>
    <row r="970" spans="1:2" x14ac:dyDescent="0.4">
      <c r="A970" s="4" t="s">
        <v>118</v>
      </c>
      <c r="B970" s="4" t="s">
        <v>118</v>
      </c>
    </row>
    <row r="971" spans="1:2" x14ac:dyDescent="0.4">
      <c r="A971" s="4" t="s">
        <v>118</v>
      </c>
      <c r="B971" s="4" t="s">
        <v>118</v>
      </c>
    </row>
    <row r="972" spans="1:2" x14ac:dyDescent="0.4">
      <c r="A972" s="4" t="s">
        <v>118</v>
      </c>
      <c r="B972" s="4" t="s">
        <v>118</v>
      </c>
    </row>
    <row r="973" spans="1:2" x14ac:dyDescent="0.4">
      <c r="A973" s="4" t="s">
        <v>118</v>
      </c>
      <c r="B973" s="4" t="s">
        <v>118</v>
      </c>
    </row>
    <row r="974" spans="1:2" x14ac:dyDescent="0.4">
      <c r="A974" s="4" t="s">
        <v>118</v>
      </c>
      <c r="B974" s="4" t="s">
        <v>118</v>
      </c>
    </row>
    <row r="975" spans="1:2" x14ac:dyDescent="0.4">
      <c r="A975" s="4" t="s">
        <v>118</v>
      </c>
      <c r="B975" s="4" t="s">
        <v>118</v>
      </c>
    </row>
    <row r="976" spans="1:2" x14ac:dyDescent="0.4">
      <c r="A976" s="4" t="s">
        <v>118</v>
      </c>
      <c r="B976" s="4" t="s">
        <v>118</v>
      </c>
    </row>
    <row r="977" spans="1:2" x14ac:dyDescent="0.4">
      <c r="A977" s="4" t="s">
        <v>118</v>
      </c>
      <c r="B977" s="4" t="s">
        <v>118</v>
      </c>
    </row>
    <row r="978" spans="1:2" x14ac:dyDescent="0.4">
      <c r="A978" s="4" t="s">
        <v>118</v>
      </c>
      <c r="B978" s="4" t="s">
        <v>118</v>
      </c>
    </row>
    <row r="979" spans="1:2" x14ac:dyDescent="0.4">
      <c r="A979" s="4" t="s">
        <v>118</v>
      </c>
      <c r="B979" s="4" t="s">
        <v>118</v>
      </c>
    </row>
    <row r="980" spans="1:2" x14ac:dyDescent="0.4">
      <c r="A980" s="4" t="s">
        <v>118</v>
      </c>
      <c r="B980" s="4" t="s">
        <v>118</v>
      </c>
    </row>
    <row r="981" spans="1:2" x14ac:dyDescent="0.4">
      <c r="A981" s="4" t="s">
        <v>118</v>
      </c>
      <c r="B981" s="4" t="s">
        <v>118</v>
      </c>
    </row>
    <row r="982" spans="1:2" x14ac:dyDescent="0.4">
      <c r="A982" s="4" t="s">
        <v>118</v>
      </c>
      <c r="B982" s="4" t="s">
        <v>118</v>
      </c>
    </row>
    <row r="983" spans="1:2" x14ac:dyDescent="0.4">
      <c r="A983" s="4" t="s">
        <v>118</v>
      </c>
      <c r="B983" s="4" t="s">
        <v>118</v>
      </c>
    </row>
    <row r="984" spans="1:2" x14ac:dyDescent="0.4">
      <c r="A984" s="4" t="s">
        <v>118</v>
      </c>
      <c r="B984" s="4" t="s">
        <v>118</v>
      </c>
    </row>
    <row r="985" spans="1:2" x14ac:dyDescent="0.4">
      <c r="A985" s="4" t="s">
        <v>118</v>
      </c>
      <c r="B985" s="4" t="s">
        <v>118</v>
      </c>
    </row>
    <row r="986" spans="1:2" x14ac:dyDescent="0.4">
      <c r="A986" s="4" t="s">
        <v>118</v>
      </c>
      <c r="B986" s="4" t="s">
        <v>118</v>
      </c>
    </row>
    <row r="987" spans="1:2" x14ac:dyDescent="0.4">
      <c r="A987" s="4" t="s">
        <v>118</v>
      </c>
      <c r="B987" s="4" t="s">
        <v>118</v>
      </c>
    </row>
    <row r="988" spans="1:2" x14ac:dyDescent="0.4">
      <c r="A988" s="4" t="s">
        <v>118</v>
      </c>
      <c r="B988" s="4" t="s">
        <v>118</v>
      </c>
    </row>
    <row r="989" spans="1:2" x14ac:dyDescent="0.4">
      <c r="A989" s="4" t="s">
        <v>118</v>
      </c>
      <c r="B989" s="4" t="s">
        <v>118</v>
      </c>
    </row>
    <row r="990" spans="1:2" x14ac:dyDescent="0.4">
      <c r="A990" s="4" t="s">
        <v>118</v>
      </c>
      <c r="B990" s="4" t="s">
        <v>118</v>
      </c>
    </row>
    <row r="991" spans="1:2" x14ac:dyDescent="0.4">
      <c r="A991" s="4" t="s">
        <v>118</v>
      </c>
      <c r="B991" s="4" t="s">
        <v>118</v>
      </c>
    </row>
    <row r="992" spans="1:2" x14ac:dyDescent="0.4">
      <c r="A992" s="4" t="s">
        <v>118</v>
      </c>
      <c r="B992" s="4" t="s">
        <v>118</v>
      </c>
    </row>
    <row r="993" spans="1:2" x14ac:dyDescent="0.4">
      <c r="A993" s="4" t="s">
        <v>118</v>
      </c>
      <c r="B993" s="4" t="s">
        <v>118</v>
      </c>
    </row>
    <row r="994" spans="1:2" x14ac:dyDescent="0.4">
      <c r="A994" s="4" t="s">
        <v>118</v>
      </c>
      <c r="B994" s="4" t="s">
        <v>118</v>
      </c>
    </row>
    <row r="995" spans="1:2" x14ac:dyDescent="0.4">
      <c r="A995" s="4" t="s">
        <v>118</v>
      </c>
      <c r="B995" s="4" t="s">
        <v>118</v>
      </c>
    </row>
    <row r="996" spans="1:2" x14ac:dyDescent="0.4">
      <c r="A996" s="4" t="s">
        <v>118</v>
      </c>
      <c r="B996" s="4" t="s">
        <v>118</v>
      </c>
    </row>
    <row r="997" spans="1:2" x14ac:dyDescent="0.4">
      <c r="A997" s="4" t="s">
        <v>118</v>
      </c>
      <c r="B997" s="4" t="s">
        <v>118</v>
      </c>
    </row>
    <row r="998" spans="1:2" x14ac:dyDescent="0.4">
      <c r="A998" s="4" t="s">
        <v>118</v>
      </c>
      <c r="B998" s="4" t="s">
        <v>118</v>
      </c>
    </row>
    <row r="999" spans="1:2" x14ac:dyDescent="0.4">
      <c r="A999" s="4" t="s">
        <v>118</v>
      </c>
      <c r="B999" s="4" t="s">
        <v>118</v>
      </c>
    </row>
    <row r="1000" spans="1:2" x14ac:dyDescent="0.4">
      <c r="A1000" s="4" t="s">
        <v>118</v>
      </c>
      <c r="B1000" s="4" t="s">
        <v>118</v>
      </c>
    </row>
  </sheetData>
  <phoneticPr fontId="1"/>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F0764-686D-42DE-9FCF-5E644DCB576D}">
  <sheetPr codeName="Sheet16"/>
  <dimension ref="A1:B1051"/>
  <sheetViews>
    <sheetView topLeftCell="A55" workbookViewId="0">
      <selection activeCell="F15" sqref="F15"/>
    </sheetView>
  </sheetViews>
  <sheetFormatPr defaultRowHeight="18.75" x14ac:dyDescent="0.4"/>
  <cols>
    <col min="1" max="2" width="73" customWidth="1"/>
  </cols>
  <sheetData>
    <row r="1" spans="1:2" x14ac:dyDescent="0.4">
      <c r="A1" s="4" t="s">
        <v>25</v>
      </c>
      <c r="B1" s="4" t="s">
        <v>26</v>
      </c>
    </row>
    <row r="2" spans="1:2" x14ac:dyDescent="0.4">
      <c r="A2" s="4" t="s">
        <v>27</v>
      </c>
      <c r="B2" s="4" t="s">
        <v>28</v>
      </c>
    </row>
    <row r="3" spans="1:2" x14ac:dyDescent="0.4">
      <c r="A3" s="4" t="s">
        <v>29</v>
      </c>
      <c r="B3" s="4" t="s">
        <v>28</v>
      </c>
    </row>
    <row r="4" spans="1:2" x14ac:dyDescent="0.4">
      <c r="A4" t="s">
        <v>30</v>
      </c>
      <c r="B4" s="4" t="s">
        <v>28</v>
      </c>
    </row>
    <row r="5" spans="1:2" x14ac:dyDescent="0.4">
      <c r="A5" s="4" t="s">
        <v>31</v>
      </c>
      <c r="B5" s="4" t="s">
        <v>28</v>
      </c>
    </row>
    <row r="6" spans="1:2" x14ac:dyDescent="0.4">
      <c r="A6" s="4" t="s">
        <v>32</v>
      </c>
      <c r="B6" s="4" t="s">
        <v>28</v>
      </c>
    </row>
    <row r="7" spans="1:2" x14ac:dyDescent="0.4">
      <c r="A7" s="4" t="s">
        <v>33</v>
      </c>
      <c r="B7" s="4" t="s">
        <v>28</v>
      </c>
    </row>
    <row r="8" spans="1:2" x14ac:dyDescent="0.4">
      <c r="A8" s="4" t="s">
        <v>34</v>
      </c>
      <c r="B8" s="4" t="s">
        <v>28</v>
      </c>
    </row>
    <row r="9" spans="1:2" x14ac:dyDescent="0.4">
      <c r="A9" s="4" t="s">
        <v>35</v>
      </c>
      <c r="B9" s="4" t="s">
        <v>28</v>
      </c>
    </row>
    <row r="10" spans="1:2" x14ac:dyDescent="0.4">
      <c r="A10" s="4" t="s">
        <v>36</v>
      </c>
      <c r="B10" s="4" t="s">
        <v>28</v>
      </c>
    </row>
    <row r="11" spans="1:2" x14ac:dyDescent="0.4">
      <c r="A11" s="4" t="s">
        <v>37</v>
      </c>
      <c r="B11" s="4" t="s">
        <v>28</v>
      </c>
    </row>
    <row r="12" spans="1:2" x14ac:dyDescent="0.4">
      <c r="A12" s="4" t="s">
        <v>38</v>
      </c>
      <c r="B12" s="4" t="s">
        <v>28</v>
      </c>
    </row>
    <row r="13" spans="1:2" x14ac:dyDescent="0.4">
      <c r="A13" s="4" t="s">
        <v>39</v>
      </c>
      <c r="B13" s="4" t="s">
        <v>28</v>
      </c>
    </row>
    <row r="14" spans="1:2" x14ac:dyDescent="0.4">
      <c r="A14" s="4" t="s">
        <v>40</v>
      </c>
      <c r="B14" s="4" t="s">
        <v>28</v>
      </c>
    </row>
    <row r="15" spans="1:2" x14ac:dyDescent="0.4">
      <c r="A15" s="4" t="s">
        <v>41</v>
      </c>
      <c r="B15" s="4" t="s">
        <v>28</v>
      </c>
    </row>
    <row r="16" spans="1:2" x14ac:dyDescent="0.4">
      <c r="A16" s="4" t="s">
        <v>42</v>
      </c>
      <c r="B16" s="4" t="s">
        <v>28</v>
      </c>
    </row>
    <row r="17" spans="1:2" x14ac:dyDescent="0.4">
      <c r="A17" s="4" t="s">
        <v>43</v>
      </c>
      <c r="B17" s="4" t="s">
        <v>28</v>
      </c>
    </row>
    <row r="18" spans="1:2" x14ac:dyDescent="0.4">
      <c r="A18" s="4" t="s">
        <v>44</v>
      </c>
      <c r="B18" s="4" t="s">
        <v>28</v>
      </c>
    </row>
    <row r="19" spans="1:2" x14ac:dyDescent="0.4">
      <c r="A19" s="4" t="s">
        <v>45</v>
      </c>
      <c r="B19" s="4" t="s">
        <v>28</v>
      </c>
    </row>
    <row r="20" spans="1:2" x14ac:dyDescent="0.4">
      <c r="A20" s="4" t="s">
        <v>46</v>
      </c>
      <c r="B20" s="4" t="s">
        <v>28</v>
      </c>
    </row>
    <row r="21" spans="1:2" x14ac:dyDescent="0.4">
      <c r="A21" s="4" t="s">
        <v>47</v>
      </c>
      <c r="B21" s="4" t="s">
        <v>28</v>
      </c>
    </row>
    <row r="22" spans="1:2" x14ac:dyDescent="0.4">
      <c r="A22" s="4" t="s">
        <v>48</v>
      </c>
      <c r="B22" s="4" t="s">
        <v>28</v>
      </c>
    </row>
    <row r="23" spans="1:2" x14ac:dyDescent="0.4">
      <c r="A23" s="4" t="s">
        <v>49</v>
      </c>
      <c r="B23" s="4" t="s">
        <v>28</v>
      </c>
    </row>
    <row r="24" spans="1:2" x14ac:dyDescent="0.4">
      <c r="A24" s="4" t="s">
        <v>50</v>
      </c>
      <c r="B24" s="4" t="s">
        <v>28</v>
      </c>
    </row>
    <row r="25" spans="1:2" x14ac:dyDescent="0.4">
      <c r="A25" s="4" t="s">
        <v>51</v>
      </c>
      <c r="B25" s="4" t="s">
        <v>28</v>
      </c>
    </row>
    <row r="26" spans="1:2" x14ac:dyDescent="0.4">
      <c r="A26" s="4" t="s">
        <v>52</v>
      </c>
      <c r="B26" s="4" t="s">
        <v>28</v>
      </c>
    </row>
    <row r="27" spans="1:2" x14ac:dyDescent="0.4">
      <c r="A27" s="4" t="s">
        <v>32</v>
      </c>
      <c r="B27" s="4" t="s">
        <v>28</v>
      </c>
    </row>
    <row r="28" spans="1:2" x14ac:dyDescent="0.4">
      <c r="A28" s="4" t="s">
        <v>33</v>
      </c>
      <c r="B28" s="4" t="s">
        <v>28</v>
      </c>
    </row>
    <row r="29" spans="1:2" x14ac:dyDescent="0.4">
      <c r="A29" s="4" t="s">
        <v>53</v>
      </c>
      <c r="B29" s="4" t="s">
        <v>28</v>
      </c>
    </row>
    <row r="30" spans="1:2" x14ac:dyDescent="0.4">
      <c r="A30" s="4" t="s">
        <v>54</v>
      </c>
      <c r="B30" s="4" t="s">
        <v>28</v>
      </c>
    </row>
    <row r="31" spans="1:2" x14ac:dyDescent="0.4">
      <c r="A31" s="4" t="s">
        <v>55</v>
      </c>
      <c r="B31" s="4" t="s">
        <v>28</v>
      </c>
    </row>
    <row r="32" spans="1:2" x14ac:dyDescent="0.4">
      <c r="A32" s="4" t="s">
        <v>56</v>
      </c>
      <c r="B32" s="4" t="s">
        <v>28</v>
      </c>
    </row>
    <row r="33" spans="1:2" x14ac:dyDescent="0.4">
      <c r="A33" s="4" t="s">
        <v>57</v>
      </c>
      <c r="B33" s="4" t="s">
        <v>28</v>
      </c>
    </row>
    <row r="34" spans="1:2" x14ac:dyDescent="0.4">
      <c r="A34" s="4" t="s">
        <v>58</v>
      </c>
      <c r="B34" s="4" t="s">
        <v>28</v>
      </c>
    </row>
    <row r="35" spans="1:2" x14ac:dyDescent="0.4">
      <c r="A35" s="4" t="s">
        <v>59</v>
      </c>
      <c r="B35" s="4" t="s">
        <v>28</v>
      </c>
    </row>
    <row r="36" spans="1:2" x14ac:dyDescent="0.4">
      <c r="A36" s="4" t="s">
        <v>60</v>
      </c>
      <c r="B36" s="4" t="s">
        <v>28</v>
      </c>
    </row>
    <row r="37" spans="1:2" x14ac:dyDescent="0.4">
      <c r="A37" s="4" t="s">
        <v>61</v>
      </c>
      <c r="B37" s="4" t="s">
        <v>28</v>
      </c>
    </row>
    <row r="38" spans="1:2" x14ac:dyDescent="0.4">
      <c r="A38" s="4" t="s">
        <v>62</v>
      </c>
      <c r="B38" s="4" t="s">
        <v>28</v>
      </c>
    </row>
    <row r="39" spans="1:2" x14ac:dyDescent="0.4">
      <c r="A39" s="4" t="s">
        <v>63</v>
      </c>
      <c r="B39" s="4" t="s">
        <v>28</v>
      </c>
    </row>
    <row r="40" spans="1:2" x14ac:dyDescent="0.4">
      <c r="A40" s="4" t="s">
        <v>64</v>
      </c>
      <c r="B40" s="4" t="s">
        <v>28</v>
      </c>
    </row>
    <row r="41" spans="1:2" x14ac:dyDescent="0.4">
      <c r="A41" s="4" t="s">
        <v>65</v>
      </c>
      <c r="B41" s="4" t="s">
        <v>28</v>
      </c>
    </row>
    <row r="42" spans="1:2" x14ac:dyDescent="0.4">
      <c r="A42" s="4" t="s">
        <v>66</v>
      </c>
      <c r="B42" s="4" t="s">
        <v>28</v>
      </c>
    </row>
    <row r="43" spans="1:2" x14ac:dyDescent="0.4">
      <c r="A43" s="4" t="s">
        <v>67</v>
      </c>
      <c r="B43" s="4" t="s">
        <v>28</v>
      </c>
    </row>
    <row r="44" spans="1:2" x14ac:dyDescent="0.4">
      <c r="A44" s="4" t="s">
        <v>68</v>
      </c>
      <c r="B44" s="4" t="s">
        <v>28</v>
      </c>
    </row>
    <row r="45" spans="1:2" x14ac:dyDescent="0.4">
      <c r="A45" s="4" t="s">
        <v>69</v>
      </c>
      <c r="B45" s="4" t="s">
        <v>28</v>
      </c>
    </row>
    <row r="46" spans="1:2" x14ac:dyDescent="0.4">
      <c r="A46" s="4" t="s">
        <v>52</v>
      </c>
      <c r="B46" s="4" t="s">
        <v>28</v>
      </c>
    </row>
    <row r="47" spans="1:2" x14ac:dyDescent="0.4">
      <c r="A47" s="4" t="s">
        <v>70</v>
      </c>
      <c r="B47" s="4" t="s">
        <v>28</v>
      </c>
    </row>
    <row r="48" spans="1:2" x14ac:dyDescent="0.4">
      <c r="A48" s="4" t="s">
        <v>71</v>
      </c>
      <c r="B48" s="4" t="s">
        <v>28</v>
      </c>
    </row>
    <row r="49" spans="1:2" x14ac:dyDescent="0.4">
      <c r="A49" s="4" t="s">
        <v>72</v>
      </c>
      <c r="B49" s="4" t="s">
        <v>28</v>
      </c>
    </row>
    <row r="50" spans="1:2" x14ac:dyDescent="0.4">
      <c r="A50" s="4" t="s">
        <v>73</v>
      </c>
      <c r="B50" s="4" t="s">
        <v>28</v>
      </c>
    </row>
    <row r="51" spans="1:2" x14ac:dyDescent="0.4">
      <c r="A51" s="4" t="s">
        <v>74</v>
      </c>
      <c r="B51" s="4" t="s">
        <v>28</v>
      </c>
    </row>
    <row r="52" spans="1:2" x14ac:dyDescent="0.4">
      <c r="A52" s="4" t="s">
        <v>75</v>
      </c>
      <c r="B52" s="4" t="s">
        <v>28</v>
      </c>
    </row>
    <row r="53" spans="1:2" x14ac:dyDescent="0.4">
      <c r="A53" s="4" t="s">
        <v>76</v>
      </c>
      <c r="B53" s="4" t="s">
        <v>28</v>
      </c>
    </row>
    <row r="54" spans="1:2" x14ac:dyDescent="0.4">
      <c r="A54" s="4" t="s">
        <v>77</v>
      </c>
      <c r="B54" s="4" t="s">
        <v>28</v>
      </c>
    </row>
    <row r="55" spans="1:2" x14ac:dyDescent="0.4">
      <c r="A55" s="4" t="s">
        <v>78</v>
      </c>
      <c r="B55" s="4" t="s">
        <v>28</v>
      </c>
    </row>
    <row r="56" spans="1:2" x14ac:dyDescent="0.4">
      <c r="A56" s="4" t="s">
        <v>79</v>
      </c>
      <c r="B56" s="4" t="s">
        <v>28</v>
      </c>
    </row>
    <row r="57" spans="1:2" x14ac:dyDescent="0.4">
      <c r="A57" s="4" t="s">
        <v>80</v>
      </c>
      <c r="B57" s="4" t="s">
        <v>28</v>
      </c>
    </row>
    <row r="58" spans="1:2" x14ac:dyDescent="0.4">
      <c r="A58" s="4" t="s">
        <v>81</v>
      </c>
      <c r="B58" s="4" t="s">
        <v>28</v>
      </c>
    </row>
    <row r="59" spans="1:2" x14ac:dyDescent="0.4">
      <c r="A59" s="4" t="s">
        <v>82</v>
      </c>
      <c r="B59" s="4" t="s">
        <v>28</v>
      </c>
    </row>
    <row r="60" spans="1:2" x14ac:dyDescent="0.4">
      <c r="A60" s="4" t="s">
        <v>83</v>
      </c>
      <c r="B60" s="4" t="s">
        <v>28</v>
      </c>
    </row>
    <row r="61" spans="1:2" x14ac:dyDescent="0.4">
      <c r="A61" s="4" t="s">
        <v>84</v>
      </c>
      <c r="B61" s="4" t="s">
        <v>28</v>
      </c>
    </row>
    <row r="62" spans="1:2" x14ac:dyDescent="0.4">
      <c r="A62" s="4" t="s">
        <v>85</v>
      </c>
      <c r="B62" s="4" t="s">
        <v>28</v>
      </c>
    </row>
    <row r="63" spans="1:2" x14ac:dyDescent="0.4">
      <c r="A63" s="4" t="s">
        <v>86</v>
      </c>
      <c r="B63" s="4" t="s">
        <v>28</v>
      </c>
    </row>
    <row r="64" spans="1:2" x14ac:dyDescent="0.4">
      <c r="A64" s="4" t="s">
        <v>87</v>
      </c>
      <c r="B64" s="4" t="s">
        <v>28</v>
      </c>
    </row>
    <row r="65" spans="1:2" x14ac:dyDescent="0.4">
      <c r="A65" s="4" t="s">
        <v>88</v>
      </c>
      <c r="B65" s="4" t="s">
        <v>15</v>
      </c>
    </row>
    <row r="66" spans="1:2" x14ac:dyDescent="0.4">
      <c r="A66" s="4"/>
      <c r="B66" s="4" t="s">
        <v>28</v>
      </c>
    </row>
    <row r="67" spans="1:2" x14ac:dyDescent="0.4">
      <c r="A67" s="4"/>
      <c r="B67" s="4" t="s">
        <v>28</v>
      </c>
    </row>
    <row r="68" spans="1:2" x14ac:dyDescent="0.4">
      <c r="A68" s="4"/>
      <c r="B68" s="4" t="s">
        <v>28</v>
      </c>
    </row>
    <row r="69" spans="1:2" x14ac:dyDescent="0.4">
      <c r="A69" s="4"/>
      <c r="B69" s="4" t="s">
        <v>28</v>
      </c>
    </row>
    <row r="70" spans="1:2" x14ac:dyDescent="0.4">
      <c r="A70" s="4"/>
      <c r="B70" s="4" t="s">
        <v>28</v>
      </c>
    </row>
    <row r="71" spans="1:2" x14ac:dyDescent="0.4">
      <c r="A71" s="4"/>
      <c r="B71" s="4" t="s">
        <v>28</v>
      </c>
    </row>
    <row r="72" spans="1:2" x14ac:dyDescent="0.4">
      <c r="A72" s="4"/>
      <c r="B72" s="4" t="s">
        <v>28</v>
      </c>
    </row>
    <row r="73" spans="1:2" x14ac:dyDescent="0.4">
      <c r="A73" s="4"/>
      <c r="B73" s="4" t="s">
        <v>28</v>
      </c>
    </row>
    <row r="74" spans="1:2" x14ac:dyDescent="0.4">
      <c r="A74" s="4"/>
      <c r="B74" s="4" t="s">
        <v>28</v>
      </c>
    </row>
    <row r="75" spans="1:2" x14ac:dyDescent="0.4">
      <c r="A75" s="4"/>
      <c r="B75" s="4" t="s">
        <v>28</v>
      </c>
    </row>
    <row r="76" spans="1:2" x14ac:dyDescent="0.4">
      <c r="A76" s="4"/>
      <c r="B76" s="4" t="s">
        <v>28</v>
      </c>
    </row>
    <row r="77" spans="1:2" x14ac:dyDescent="0.4">
      <c r="A77" s="4"/>
      <c r="B77" s="4" t="s">
        <v>28</v>
      </c>
    </row>
    <row r="78" spans="1:2" x14ac:dyDescent="0.4">
      <c r="A78" s="4"/>
      <c r="B78" s="4" t="s">
        <v>28</v>
      </c>
    </row>
    <row r="79" spans="1:2" x14ac:dyDescent="0.4">
      <c r="A79" s="4"/>
      <c r="B79" s="4" t="s">
        <v>28</v>
      </c>
    </row>
    <row r="80" spans="1:2" x14ac:dyDescent="0.4">
      <c r="A80" s="4"/>
      <c r="B80" s="4" t="s">
        <v>28</v>
      </c>
    </row>
    <row r="81" spans="1:2" x14ac:dyDescent="0.4">
      <c r="A81" s="4"/>
      <c r="B81" s="4" t="s">
        <v>28</v>
      </c>
    </row>
    <row r="82" spans="1:2" x14ac:dyDescent="0.4">
      <c r="A82" s="4"/>
      <c r="B82" s="4" t="s">
        <v>28</v>
      </c>
    </row>
    <row r="83" spans="1:2" x14ac:dyDescent="0.4">
      <c r="A83" s="4"/>
      <c r="B83" s="4" t="s">
        <v>28</v>
      </c>
    </row>
    <row r="84" spans="1:2" x14ac:dyDescent="0.4">
      <c r="A84" s="4"/>
      <c r="B84" s="4" t="s">
        <v>28</v>
      </c>
    </row>
    <row r="85" spans="1:2" x14ac:dyDescent="0.4">
      <c r="A85" s="4"/>
      <c r="B85" s="4" t="s">
        <v>28</v>
      </c>
    </row>
    <row r="86" spans="1:2" x14ac:dyDescent="0.4">
      <c r="A86" s="4"/>
      <c r="B86" s="4" t="s">
        <v>28</v>
      </c>
    </row>
    <row r="87" spans="1:2" x14ac:dyDescent="0.4">
      <c r="A87" s="4"/>
      <c r="B87" s="4" t="s">
        <v>28</v>
      </c>
    </row>
    <row r="88" spans="1:2" x14ac:dyDescent="0.4">
      <c r="A88" s="4"/>
      <c r="B88" s="4" t="s">
        <v>28</v>
      </c>
    </row>
    <row r="89" spans="1:2" x14ac:dyDescent="0.4">
      <c r="A89" s="4"/>
      <c r="B89" s="4" t="s">
        <v>28</v>
      </c>
    </row>
    <row r="90" spans="1:2" x14ac:dyDescent="0.4">
      <c r="A90" s="4"/>
      <c r="B90" s="4" t="s">
        <v>28</v>
      </c>
    </row>
    <row r="91" spans="1:2" x14ac:dyDescent="0.4">
      <c r="A91" s="4"/>
      <c r="B91" s="4" t="s">
        <v>28</v>
      </c>
    </row>
    <row r="92" spans="1:2" x14ac:dyDescent="0.4">
      <c r="A92" s="4"/>
      <c r="B92" s="4" t="s">
        <v>28</v>
      </c>
    </row>
    <row r="93" spans="1:2" x14ac:dyDescent="0.4">
      <c r="A93" s="4"/>
      <c r="B93" s="4" t="s">
        <v>28</v>
      </c>
    </row>
    <row r="94" spans="1:2" x14ac:dyDescent="0.4">
      <c r="A94" s="4"/>
      <c r="B94" s="4" t="s">
        <v>28</v>
      </c>
    </row>
    <row r="95" spans="1:2" x14ac:dyDescent="0.4">
      <c r="A95" s="4"/>
      <c r="B95" s="4" t="s">
        <v>28</v>
      </c>
    </row>
    <row r="96" spans="1:2" x14ac:dyDescent="0.4">
      <c r="A96" s="4"/>
      <c r="B96" s="4" t="s">
        <v>28</v>
      </c>
    </row>
    <row r="97" spans="1:2" x14ac:dyDescent="0.4">
      <c r="A97" s="4"/>
      <c r="B97" s="4" t="s">
        <v>28</v>
      </c>
    </row>
    <row r="98" spans="1:2" x14ac:dyDescent="0.4">
      <c r="A98" s="4"/>
      <c r="B98" s="4" t="s">
        <v>28</v>
      </c>
    </row>
    <row r="99" spans="1:2" x14ac:dyDescent="0.4">
      <c r="A99" s="4"/>
      <c r="B99" s="4" t="s">
        <v>28</v>
      </c>
    </row>
    <row r="100" spans="1:2" x14ac:dyDescent="0.4">
      <c r="A100" s="4"/>
      <c r="B100" s="4" t="s">
        <v>28</v>
      </c>
    </row>
    <row r="101" spans="1:2" x14ac:dyDescent="0.4">
      <c r="A101" s="4"/>
      <c r="B101" s="4" t="s">
        <v>28</v>
      </c>
    </row>
    <row r="102" spans="1:2" x14ac:dyDescent="0.4">
      <c r="A102" s="4"/>
      <c r="B102" s="4" t="s">
        <v>28</v>
      </c>
    </row>
    <row r="103" spans="1:2" x14ac:dyDescent="0.4">
      <c r="A103" s="4"/>
      <c r="B103" s="4" t="s">
        <v>28</v>
      </c>
    </row>
    <row r="104" spans="1:2" x14ac:dyDescent="0.4">
      <c r="A104" s="4"/>
      <c r="B104" s="4" t="s">
        <v>28</v>
      </c>
    </row>
    <row r="105" spans="1:2" x14ac:dyDescent="0.4">
      <c r="A105" s="4"/>
      <c r="B105" s="4" t="s">
        <v>28</v>
      </c>
    </row>
    <row r="106" spans="1:2" x14ac:dyDescent="0.4">
      <c r="A106" s="4"/>
      <c r="B106" s="4" t="s">
        <v>28</v>
      </c>
    </row>
    <row r="107" spans="1:2" x14ac:dyDescent="0.4">
      <c r="A107" s="4"/>
      <c r="B107" s="4" t="s">
        <v>28</v>
      </c>
    </row>
    <row r="108" spans="1:2" x14ac:dyDescent="0.4">
      <c r="A108" s="4"/>
      <c r="B108" s="4" t="s">
        <v>28</v>
      </c>
    </row>
    <row r="109" spans="1:2" x14ac:dyDescent="0.4">
      <c r="A109" s="4"/>
      <c r="B109" s="4" t="s">
        <v>28</v>
      </c>
    </row>
    <row r="110" spans="1:2" x14ac:dyDescent="0.4">
      <c r="A110" s="4"/>
      <c r="B110" s="4" t="s">
        <v>28</v>
      </c>
    </row>
    <row r="111" spans="1:2" x14ac:dyDescent="0.4">
      <c r="A111" s="4"/>
      <c r="B111" s="4" t="s">
        <v>28</v>
      </c>
    </row>
    <row r="112" spans="1:2" x14ac:dyDescent="0.4">
      <c r="A112" s="4"/>
      <c r="B112" s="4" t="s">
        <v>28</v>
      </c>
    </row>
    <row r="113" spans="1:2" x14ac:dyDescent="0.4">
      <c r="A113" s="4"/>
      <c r="B113" s="4" t="s">
        <v>28</v>
      </c>
    </row>
    <row r="114" spans="1:2" x14ac:dyDescent="0.4">
      <c r="A114" s="4"/>
      <c r="B114" s="4" t="s">
        <v>28</v>
      </c>
    </row>
    <row r="115" spans="1:2" x14ac:dyDescent="0.4">
      <c r="A115" s="4"/>
      <c r="B115" s="4" t="s">
        <v>28</v>
      </c>
    </row>
    <row r="116" spans="1:2" x14ac:dyDescent="0.4">
      <c r="A116" s="4"/>
      <c r="B116" s="4" t="s">
        <v>28</v>
      </c>
    </row>
    <row r="117" spans="1:2" x14ac:dyDescent="0.4">
      <c r="A117" s="4"/>
      <c r="B117" s="4" t="s">
        <v>28</v>
      </c>
    </row>
    <row r="118" spans="1:2" x14ac:dyDescent="0.4">
      <c r="A118" s="4"/>
      <c r="B118" s="4" t="s">
        <v>28</v>
      </c>
    </row>
    <row r="119" spans="1:2" x14ac:dyDescent="0.4">
      <c r="A119" s="4"/>
      <c r="B119" s="4" t="s">
        <v>28</v>
      </c>
    </row>
    <row r="120" spans="1:2" x14ac:dyDescent="0.4">
      <c r="A120" s="4"/>
      <c r="B120" s="4" t="s">
        <v>28</v>
      </c>
    </row>
    <row r="121" spans="1:2" x14ac:dyDescent="0.4">
      <c r="A121" s="4"/>
      <c r="B121" s="4" t="s">
        <v>28</v>
      </c>
    </row>
    <row r="122" spans="1:2" x14ac:dyDescent="0.4">
      <c r="A122" s="4"/>
      <c r="B122" s="4" t="s">
        <v>28</v>
      </c>
    </row>
    <row r="123" spans="1:2" x14ac:dyDescent="0.4">
      <c r="A123" s="4"/>
      <c r="B123" s="4" t="s">
        <v>28</v>
      </c>
    </row>
    <row r="124" spans="1:2" x14ac:dyDescent="0.4">
      <c r="A124" s="4"/>
      <c r="B124" s="4" t="s">
        <v>28</v>
      </c>
    </row>
    <row r="125" spans="1:2" x14ac:dyDescent="0.4">
      <c r="A125" s="4"/>
      <c r="B125" s="4" t="s">
        <v>28</v>
      </c>
    </row>
    <row r="126" spans="1:2" x14ac:dyDescent="0.4">
      <c r="A126" s="4"/>
      <c r="B126" s="4" t="s">
        <v>28</v>
      </c>
    </row>
    <row r="127" spans="1:2" x14ac:dyDescent="0.4">
      <c r="A127" s="4"/>
      <c r="B127" s="4" t="s">
        <v>28</v>
      </c>
    </row>
    <row r="128" spans="1:2" x14ac:dyDescent="0.4">
      <c r="A128" s="4"/>
      <c r="B128" s="4" t="s">
        <v>28</v>
      </c>
    </row>
    <row r="129" spans="1:2" x14ac:dyDescent="0.4">
      <c r="A129" s="4"/>
      <c r="B129" s="4" t="s">
        <v>28</v>
      </c>
    </row>
    <row r="130" spans="1:2" x14ac:dyDescent="0.4">
      <c r="A130" s="4"/>
      <c r="B130" s="4" t="s">
        <v>28</v>
      </c>
    </row>
    <row r="131" spans="1:2" x14ac:dyDescent="0.4">
      <c r="A131" s="4"/>
      <c r="B131" s="4" t="s">
        <v>28</v>
      </c>
    </row>
    <row r="132" spans="1:2" x14ac:dyDescent="0.4">
      <c r="A132" s="4"/>
      <c r="B132" s="4" t="s">
        <v>28</v>
      </c>
    </row>
    <row r="133" spans="1:2" x14ac:dyDescent="0.4">
      <c r="A133" s="4"/>
      <c r="B133" s="4" t="s">
        <v>28</v>
      </c>
    </row>
    <row r="134" spans="1:2" x14ac:dyDescent="0.4">
      <c r="A134" s="4"/>
      <c r="B134" s="4" t="s">
        <v>28</v>
      </c>
    </row>
    <row r="135" spans="1:2" x14ac:dyDescent="0.4">
      <c r="A135" s="4"/>
      <c r="B135" s="4" t="s">
        <v>28</v>
      </c>
    </row>
    <row r="136" spans="1:2" x14ac:dyDescent="0.4">
      <c r="A136" s="4"/>
      <c r="B136" s="4" t="s">
        <v>28</v>
      </c>
    </row>
    <row r="137" spans="1:2" x14ac:dyDescent="0.4">
      <c r="A137" s="4"/>
      <c r="B137" s="4" t="s">
        <v>28</v>
      </c>
    </row>
    <row r="138" spans="1:2" x14ac:dyDescent="0.4">
      <c r="A138" s="4"/>
      <c r="B138" s="4" t="s">
        <v>28</v>
      </c>
    </row>
    <row r="139" spans="1:2" x14ac:dyDescent="0.4">
      <c r="A139" s="4"/>
      <c r="B139" s="4" t="s">
        <v>28</v>
      </c>
    </row>
    <row r="140" spans="1:2" x14ac:dyDescent="0.4">
      <c r="A140" s="4"/>
      <c r="B140" s="4" t="s">
        <v>28</v>
      </c>
    </row>
    <row r="141" spans="1:2" x14ac:dyDescent="0.4">
      <c r="A141" s="4"/>
      <c r="B141" s="4" t="s">
        <v>28</v>
      </c>
    </row>
    <row r="142" spans="1:2" x14ac:dyDescent="0.4">
      <c r="A142" s="4"/>
      <c r="B142" s="4" t="s">
        <v>28</v>
      </c>
    </row>
    <row r="143" spans="1:2" x14ac:dyDescent="0.4">
      <c r="A143" s="4"/>
      <c r="B143" s="4" t="s">
        <v>28</v>
      </c>
    </row>
    <row r="144" spans="1:2" x14ac:dyDescent="0.4">
      <c r="A144" s="4"/>
      <c r="B144" s="4" t="s">
        <v>28</v>
      </c>
    </row>
    <row r="145" spans="1:2" x14ac:dyDescent="0.4">
      <c r="A145" s="4"/>
      <c r="B145" s="4" t="s">
        <v>28</v>
      </c>
    </row>
    <row r="146" spans="1:2" x14ac:dyDescent="0.4">
      <c r="A146" s="4"/>
      <c r="B146" s="4" t="s">
        <v>28</v>
      </c>
    </row>
    <row r="147" spans="1:2" x14ac:dyDescent="0.4">
      <c r="A147" s="4"/>
      <c r="B147" s="4" t="s">
        <v>28</v>
      </c>
    </row>
    <row r="148" spans="1:2" x14ac:dyDescent="0.4">
      <c r="A148" s="4"/>
      <c r="B148" s="4" t="s">
        <v>28</v>
      </c>
    </row>
    <row r="149" spans="1:2" x14ac:dyDescent="0.4">
      <c r="A149" s="4"/>
      <c r="B149" s="4" t="s">
        <v>28</v>
      </c>
    </row>
    <row r="150" spans="1:2" x14ac:dyDescent="0.4">
      <c r="A150" s="4"/>
      <c r="B150" s="4" t="s">
        <v>28</v>
      </c>
    </row>
    <row r="151" spans="1:2" x14ac:dyDescent="0.4">
      <c r="A151" s="4"/>
      <c r="B151" s="4" t="s">
        <v>28</v>
      </c>
    </row>
    <row r="152" spans="1:2" x14ac:dyDescent="0.4">
      <c r="A152" s="4"/>
      <c r="B152" s="4" t="s">
        <v>28</v>
      </c>
    </row>
    <row r="153" spans="1:2" x14ac:dyDescent="0.4">
      <c r="A153" s="4"/>
      <c r="B153" s="4" t="s">
        <v>28</v>
      </c>
    </row>
    <row r="154" spans="1:2" x14ac:dyDescent="0.4">
      <c r="A154" s="4"/>
      <c r="B154" s="4" t="s">
        <v>28</v>
      </c>
    </row>
    <row r="155" spans="1:2" x14ac:dyDescent="0.4">
      <c r="A155" s="4"/>
      <c r="B155" s="4" t="s">
        <v>28</v>
      </c>
    </row>
    <row r="156" spans="1:2" x14ac:dyDescent="0.4">
      <c r="A156" s="4"/>
      <c r="B156" s="4" t="s">
        <v>28</v>
      </c>
    </row>
    <row r="157" spans="1:2" x14ac:dyDescent="0.4">
      <c r="A157" s="4"/>
      <c r="B157" s="4" t="s">
        <v>28</v>
      </c>
    </row>
    <row r="158" spans="1:2" x14ac:dyDescent="0.4">
      <c r="A158" s="4"/>
      <c r="B158" s="4" t="s">
        <v>28</v>
      </c>
    </row>
    <row r="159" spans="1:2" x14ac:dyDescent="0.4">
      <c r="A159" s="4"/>
      <c r="B159" s="4" t="s">
        <v>28</v>
      </c>
    </row>
    <row r="160" spans="1:2" x14ac:dyDescent="0.4">
      <c r="A160" s="4"/>
      <c r="B160" s="4" t="s">
        <v>28</v>
      </c>
    </row>
    <row r="161" spans="1:2" x14ac:dyDescent="0.4">
      <c r="A161" s="4"/>
      <c r="B161" s="4" t="s">
        <v>28</v>
      </c>
    </row>
    <row r="162" spans="1:2" x14ac:dyDescent="0.4">
      <c r="A162" s="4"/>
      <c r="B162" s="4" t="s">
        <v>28</v>
      </c>
    </row>
    <row r="163" spans="1:2" x14ac:dyDescent="0.4">
      <c r="A163" s="4"/>
      <c r="B163" s="4" t="s">
        <v>28</v>
      </c>
    </row>
    <row r="164" spans="1:2" x14ac:dyDescent="0.4">
      <c r="A164" s="4"/>
      <c r="B164" s="4" t="s">
        <v>28</v>
      </c>
    </row>
    <row r="165" spans="1:2" x14ac:dyDescent="0.4">
      <c r="A165" s="4"/>
      <c r="B165" s="4" t="s">
        <v>28</v>
      </c>
    </row>
    <row r="166" spans="1:2" x14ac:dyDescent="0.4">
      <c r="A166" s="4"/>
      <c r="B166" s="4" t="s">
        <v>28</v>
      </c>
    </row>
    <row r="167" spans="1:2" x14ac:dyDescent="0.4">
      <c r="A167" s="4"/>
      <c r="B167" s="4" t="s">
        <v>28</v>
      </c>
    </row>
    <row r="168" spans="1:2" x14ac:dyDescent="0.4">
      <c r="A168" s="4"/>
      <c r="B168" s="4" t="s">
        <v>28</v>
      </c>
    </row>
    <row r="169" spans="1:2" x14ac:dyDescent="0.4">
      <c r="A169" s="4"/>
      <c r="B169" s="4" t="s">
        <v>28</v>
      </c>
    </row>
    <row r="170" spans="1:2" x14ac:dyDescent="0.4">
      <c r="A170" s="4"/>
      <c r="B170" s="4" t="s">
        <v>28</v>
      </c>
    </row>
    <row r="171" spans="1:2" x14ac:dyDescent="0.4">
      <c r="A171" s="4"/>
      <c r="B171" s="4" t="s">
        <v>28</v>
      </c>
    </row>
    <row r="172" spans="1:2" x14ac:dyDescent="0.4">
      <c r="A172" s="4"/>
      <c r="B172" s="4" t="s">
        <v>28</v>
      </c>
    </row>
    <row r="173" spans="1:2" x14ac:dyDescent="0.4">
      <c r="A173" s="4"/>
      <c r="B173" s="4" t="s">
        <v>28</v>
      </c>
    </row>
    <row r="174" spans="1:2" x14ac:dyDescent="0.4">
      <c r="A174" s="4"/>
      <c r="B174" s="4" t="s">
        <v>28</v>
      </c>
    </row>
    <row r="175" spans="1:2" x14ac:dyDescent="0.4">
      <c r="A175" s="4"/>
      <c r="B175" s="4" t="s">
        <v>28</v>
      </c>
    </row>
    <row r="176" spans="1:2" x14ac:dyDescent="0.4">
      <c r="A176" s="4"/>
      <c r="B176" s="4" t="s">
        <v>28</v>
      </c>
    </row>
    <row r="177" spans="1:2" x14ac:dyDescent="0.4">
      <c r="A177" s="4"/>
      <c r="B177" s="4" t="s">
        <v>28</v>
      </c>
    </row>
    <row r="178" spans="1:2" x14ac:dyDescent="0.4">
      <c r="A178" s="4"/>
      <c r="B178" s="4" t="s">
        <v>28</v>
      </c>
    </row>
    <row r="179" spans="1:2" x14ac:dyDescent="0.4">
      <c r="A179" s="4"/>
      <c r="B179" s="4" t="s">
        <v>28</v>
      </c>
    </row>
    <row r="180" spans="1:2" x14ac:dyDescent="0.4">
      <c r="A180" s="4"/>
      <c r="B180" s="4" t="s">
        <v>28</v>
      </c>
    </row>
    <row r="181" spans="1:2" x14ac:dyDescent="0.4">
      <c r="A181" s="4"/>
      <c r="B181" s="4" t="s">
        <v>28</v>
      </c>
    </row>
    <row r="182" spans="1:2" x14ac:dyDescent="0.4">
      <c r="A182" s="4"/>
      <c r="B182" s="4" t="s">
        <v>28</v>
      </c>
    </row>
    <row r="183" spans="1:2" x14ac:dyDescent="0.4">
      <c r="A183" s="4"/>
      <c r="B183" s="4" t="s">
        <v>28</v>
      </c>
    </row>
    <row r="184" spans="1:2" x14ac:dyDescent="0.4">
      <c r="A184" s="4"/>
      <c r="B184" s="4" t="s">
        <v>28</v>
      </c>
    </row>
    <row r="185" spans="1:2" x14ac:dyDescent="0.4">
      <c r="A185" s="4"/>
      <c r="B185" s="4" t="s">
        <v>28</v>
      </c>
    </row>
    <row r="186" spans="1:2" x14ac:dyDescent="0.4">
      <c r="A186" s="4"/>
      <c r="B186" s="4" t="s">
        <v>28</v>
      </c>
    </row>
    <row r="187" spans="1:2" x14ac:dyDescent="0.4">
      <c r="A187" s="4"/>
      <c r="B187" s="4" t="s">
        <v>28</v>
      </c>
    </row>
    <row r="188" spans="1:2" x14ac:dyDescent="0.4">
      <c r="A188" s="4"/>
      <c r="B188" s="4" t="s">
        <v>28</v>
      </c>
    </row>
    <row r="189" spans="1:2" x14ac:dyDescent="0.4">
      <c r="A189" s="4"/>
      <c r="B189" s="4" t="s">
        <v>28</v>
      </c>
    </row>
    <row r="190" spans="1:2" x14ac:dyDescent="0.4">
      <c r="A190" s="4"/>
      <c r="B190" s="4" t="s">
        <v>28</v>
      </c>
    </row>
    <row r="191" spans="1:2" x14ac:dyDescent="0.4">
      <c r="A191" s="4"/>
      <c r="B191" s="4" t="s">
        <v>28</v>
      </c>
    </row>
    <row r="192" spans="1:2" x14ac:dyDescent="0.4">
      <c r="A192" s="4"/>
      <c r="B192" s="4" t="s">
        <v>28</v>
      </c>
    </row>
    <row r="193" spans="1:2" x14ac:dyDescent="0.4">
      <c r="A193" s="4"/>
      <c r="B193" s="4" t="s">
        <v>28</v>
      </c>
    </row>
    <row r="194" spans="1:2" x14ac:dyDescent="0.4">
      <c r="A194" s="4"/>
      <c r="B194" s="4" t="s">
        <v>28</v>
      </c>
    </row>
    <row r="195" spans="1:2" x14ac:dyDescent="0.4">
      <c r="A195" s="4"/>
      <c r="B195" s="4" t="s">
        <v>28</v>
      </c>
    </row>
    <row r="196" spans="1:2" x14ac:dyDescent="0.4">
      <c r="A196" s="4"/>
      <c r="B196" s="4" t="s">
        <v>28</v>
      </c>
    </row>
    <row r="197" spans="1:2" x14ac:dyDescent="0.4">
      <c r="A197" s="4"/>
      <c r="B197" s="4" t="s">
        <v>28</v>
      </c>
    </row>
    <row r="198" spans="1:2" x14ac:dyDescent="0.4">
      <c r="A198" s="4"/>
      <c r="B198" s="4" t="s">
        <v>28</v>
      </c>
    </row>
    <row r="199" spans="1:2" x14ac:dyDescent="0.4">
      <c r="A199" s="4"/>
      <c r="B199" s="4" t="s">
        <v>28</v>
      </c>
    </row>
    <row r="200" spans="1:2" x14ac:dyDescent="0.4">
      <c r="A200" s="4"/>
      <c r="B200" s="4" t="s">
        <v>28</v>
      </c>
    </row>
    <row r="201" spans="1:2" x14ac:dyDescent="0.4">
      <c r="A201" s="4"/>
      <c r="B201" s="4" t="s">
        <v>28</v>
      </c>
    </row>
    <row r="202" spans="1:2" x14ac:dyDescent="0.4">
      <c r="A202" s="4"/>
      <c r="B202" s="4" t="s">
        <v>28</v>
      </c>
    </row>
    <row r="203" spans="1:2" x14ac:dyDescent="0.4">
      <c r="A203" s="4"/>
      <c r="B203" s="4" t="s">
        <v>28</v>
      </c>
    </row>
    <row r="204" spans="1:2" x14ac:dyDescent="0.4">
      <c r="A204" s="4"/>
      <c r="B204" s="4" t="s">
        <v>28</v>
      </c>
    </row>
    <row r="205" spans="1:2" x14ac:dyDescent="0.4">
      <c r="A205" s="4"/>
      <c r="B205" s="4" t="s">
        <v>28</v>
      </c>
    </row>
    <row r="206" spans="1:2" x14ac:dyDescent="0.4">
      <c r="A206" s="4"/>
      <c r="B206" s="4" t="s">
        <v>28</v>
      </c>
    </row>
    <row r="207" spans="1:2" x14ac:dyDescent="0.4">
      <c r="A207" s="4"/>
      <c r="B207" s="4" t="s">
        <v>28</v>
      </c>
    </row>
    <row r="208" spans="1:2" x14ac:dyDescent="0.4">
      <c r="A208" s="4"/>
      <c r="B208" s="4" t="s">
        <v>28</v>
      </c>
    </row>
    <row r="209" spans="1:2" x14ac:dyDescent="0.4">
      <c r="A209" s="4"/>
      <c r="B209" s="4" t="s">
        <v>28</v>
      </c>
    </row>
    <row r="210" spans="1:2" x14ac:dyDescent="0.4">
      <c r="A210" s="4"/>
      <c r="B210" s="4" t="s">
        <v>28</v>
      </c>
    </row>
    <row r="211" spans="1:2" x14ac:dyDescent="0.4">
      <c r="A211" s="4"/>
      <c r="B211" s="4" t="s">
        <v>28</v>
      </c>
    </row>
    <row r="212" spans="1:2" x14ac:dyDescent="0.4">
      <c r="A212" s="4"/>
      <c r="B212" s="4" t="s">
        <v>28</v>
      </c>
    </row>
    <row r="213" spans="1:2" x14ac:dyDescent="0.4">
      <c r="A213" s="4"/>
      <c r="B213" s="4" t="s">
        <v>28</v>
      </c>
    </row>
    <row r="214" spans="1:2" x14ac:dyDescent="0.4">
      <c r="A214" s="4"/>
      <c r="B214" s="4" t="s">
        <v>28</v>
      </c>
    </row>
    <row r="215" spans="1:2" x14ac:dyDescent="0.4">
      <c r="A215" s="4"/>
      <c r="B215" s="4" t="s">
        <v>28</v>
      </c>
    </row>
    <row r="216" spans="1:2" x14ac:dyDescent="0.4">
      <c r="A216" s="4"/>
      <c r="B216" s="4" t="s">
        <v>28</v>
      </c>
    </row>
    <row r="217" spans="1:2" x14ac:dyDescent="0.4">
      <c r="A217" s="4"/>
      <c r="B217" s="4" t="s">
        <v>28</v>
      </c>
    </row>
    <row r="218" spans="1:2" x14ac:dyDescent="0.4">
      <c r="A218" s="4"/>
      <c r="B218" s="4" t="s">
        <v>28</v>
      </c>
    </row>
    <row r="219" spans="1:2" x14ac:dyDescent="0.4">
      <c r="A219" s="4"/>
      <c r="B219" s="4" t="s">
        <v>28</v>
      </c>
    </row>
    <row r="220" spans="1:2" x14ac:dyDescent="0.4">
      <c r="A220" s="4"/>
      <c r="B220" s="4" t="s">
        <v>28</v>
      </c>
    </row>
    <row r="221" spans="1:2" x14ac:dyDescent="0.4">
      <c r="A221" s="4"/>
      <c r="B221" s="4" t="s">
        <v>28</v>
      </c>
    </row>
    <row r="222" spans="1:2" x14ac:dyDescent="0.4">
      <c r="A222" s="4"/>
      <c r="B222" s="4" t="s">
        <v>28</v>
      </c>
    </row>
    <row r="223" spans="1:2" x14ac:dyDescent="0.4">
      <c r="A223" s="4"/>
      <c r="B223" s="4" t="s">
        <v>28</v>
      </c>
    </row>
    <row r="224" spans="1:2" x14ac:dyDescent="0.4">
      <c r="A224" s="4"/>
      <c r="B224" s="4" t="s">
        <v>28</v>
      </c>
    </row>
    <row r="225" spans="1:2" x14ac:dyDescent="0.4">
      <c r="A225" s="4"/>
      <c r="B225" s="4" t="s">
        <v>28</v>
      </c>
    </row>
    <row r="226" spans="1:2" x14ac:dyDescent="0.4">
      <c r="A226" s="4"/>
      <c r="B226" s="4" t="s">
        <v>28</v>
      </c>
    </row>
    <row r="227" spans="1:2" x14ac:dyDescent="0.4">
      <c r="A227" s="4"/>
      <c r="B227" s="4" t="s">
        <v>28</v>
      </c>
    </row>
    <row r="228" spans="1:2" x14ac:dyDescent="0.4">
      <c r="A228" s="4"/>
      <c r="B228" s="4" t="s">
        <v>28</v>
      </c>
    </row>
    <row r="229" spans="1:2" x14ac:dyDescent="0.4">
      <c r="A229" s="4"/>
      <c r="B229" s="4" t="s">
        <v>28</v>
      </c>
    </row>
    <row r="230" spans="1:2" x14ac:dyDescent="0.4">
      <c r="A230" s="4"/>
      <c r="B230" s="4" t="s">
        <v>28</v>
      </c>
    </row>
    <row r="231" spans="1:2" x14ac:dyDescent="0.4">
      <c r="A231" s="4"/>
      <c r="B231" s="4" t="s">
        <v>28</v>
      </c>
    </row>
    <row r="232" spans="1:2" x14ac:dyDescent="0.4">
      <c r="A232" s="4"/>
      <c r="B232" s="4" t="s">
        <v>28</v>
      </c>
    </row>
    <row r="233" spans="1:2" x14ac:dyDescent="0.4">
      <c r="A233" s="4"/>
      <c r="B233" s="4" t="s">
        <v>28</v>
      </c>
    </row>
    <row r="234" spans="1:2" x14ac:dyDescent="0.4">
      <c r="A234" s="4"/>
      <c r="B234" s="4" t="s">
        <v>28</v>
      </c>
    </row>
    <row r="235" spans="1:2" x14ac:dyDescent="0.4">
      <c r="A235" s="4"/>
      <c r="B235" s="4" t="s">
        <v>28</v>
      </c>
    </row>
    <row r="236" spans="1:2" x14ac:dyDescent="0.4">
      <c r="A236" s="4"/>
      <c r="B236" s="4" t="s">
        <v>28</v>
      </c>
    </row>
    <row r="237" spans="1:2" x14ac:dyDescent="0.4">
      <c r="A237" s="4"/>
      <c r="B237" s="4" t="s">
        <v>28</v>
      </c>
    </row>
    <row r="238" spans="1:2" x14ac:dyDescent="0.4">
      <c r="A238" s="4"/>
      <c r="B238" s="4" t="s">
        <v>28</v>
      </c>
    </row>
    <row r="239" spans="1:2" x14ac:dyDescent="0.4">
      <c r="A239" s="4"/>
      <c r="B239" s="4" t="s">
        <v>28</v>
      </c>
    </row>
    <row r="240" spans="1:2" x14ac:dyDescent="0.4">
      <c r="A240" s="4"/>
      <c r="B240" s="4" t="s">
        <v>28</v>
      </c>
    </row>
    <row r="241" spans="1:2" x14ac:dyDescent="0.4">
      <c r="A241" s="4"/>
      <c r="B241" s="4" t="s">
        <v>28</v>
      </c>
    </row>
    <row r="242" spans="1:2" x14ac:dyDescent="0.4">
      <c r="A242" s="4"/>
      <c r="B242" s="4" t="s">
        <v>28</v>
      </c>
    </row>
    <row r="243" spans="1:2" x14ac:dyDescent="0.4">
      <c r="A243" s="4"/>
      <c r="B243" s="4" t="s">
        <v>28</v>
      </c>
    </row>
    <row r="244" spans="1:2" x14ac:dyDescent="0.4">
      <c r="A244" s="4"/>
      <c r="B244" s="4" t="s">
        <v>28</v>
      </c>
    </row>
    <row r="245" spans="1:2" x14ac:dyDescent="0.4">
      <c r="A245" s="4"/>
      <c r="B245" s="4" t="s">
        <v>28</v>
      </c>
    </row>
    <row r="246" spans="1:2" x14ac:dyDescent="0.4">
      <c r="A246" s="4"/>
      <c r="B246" s="4" t="s">
        <v>28</v>
      </c>
    </row>
    <row r="247" spans="1:2" x14ac:dyDescent="0.4">
      <c r="A247" s="4"/>
      <c r="B247" s="4" t="s">
        <v>28</v>
      </c>
    </row>
    <row r="248" spans="1:2" x14ac:dyDescent="0.4">
      <c r="A248" s="4"/>
      <c r="B248" s="4" t="s">
        <v>28</v>
      </c>
    </row>
    <row r="249" spans="1:2" x14ac:dyDescent="0.4">
      <c r="A249" s="4"/>
      <c r="B249" s="4" t="s">
        <v>28</v>
      </c>
    </row>
    <row r="250" spans="1:2" x14ac:dyDescent="0.4">
      <c r="A250" s="4"/>
      <c r="B250" s="4" t="s">
        <v>28</v>
      </c>
    </row>
    <row r="251" spans="1:2" x14ac:dyDescent="0.4">
      <c r="A251" s="4"/>
      <c r="B251" s="4" t="s">
        <v>28</v>
      </c>
    </row>
    <row r="252" spans="1:2" x14ac:dyDescent="0.4">
      <c r="A252" s="4"/>
      <c r="B252" s="4" t="s">
        <v>28</v>
      </c>
    </row>
    <row r="253" spans="1:2" x14ac:dyDescent="0.4">
      <c r="A253" s="4"/>
      <c r="B253" s="4" t="s">
        <v>28</v>
      </c>
    </row>
    <row r="254" spans="1:2" x14ac:dyDescent="0.4">
      <c r="A254" s="4"/>
      <c r="B254" s="4" t="s">
        <v>28</v>
      </c>
    </row>
    <row r="255" spans="1:2" x14ac:dyDescent="0.4">
      <c r="A255" s="4"/>
      <c r="B255" s="4" t="s">
        <v>28</v>
      </c>
    </row>
    <row r="256" spans="1:2" x14ac:dyDescent="0.4">
      <c r="A256" s="4"/>
      <c r="B256" s="4" t="s">
        <v>28</v>
      </c>
    </row>
    <row r="257" spans="1:2" x14ac:dyDescent="0.4">
      <c r="A257" s="4"/>
      <c r="B257" s="4" t="s">
        <v>28</v>
      </c>
    </row>
    <row r="258" spans="1:2" x14ac:dyDescent="0.4">
      <c r="A258" s="4"/>
      <c r="B258" s="4" t="s">
        <v>28</v>
      </c>
    </row>
    <row r="259" spans="1:2" x14ac:dyDescent="0.4">
      <c r="A259" s="4"/>
      <c r="B259" s="4" t="s">
        <v>28</v>
      </c>
    </row>
    <row r="260" spans="1:2" x14ac:dyDescent="0.4">
      <c r="A260" s="4"/>
      <c r="B260" s="4" t="s">
        <v>28</v>
      </c>
    </row>
    <row r="261" spans="1:2" x14ac:dyDescent="0.4">
      <c r="A261" s="4"/>
      <c r="B261" s="4" t="s">
        <v>28</v>
      </c>
    </row>
    <row r="262" spans="1:2" x14ac:dyDescent="0.4">
      <c r="A262" s="4"/>
      <c r="B262" s="4" t="s">
        <v>28</v>
      </c>
    </row>
    <row r="263" spans="1:2" x14ac:dyDescent="0.4">
      <c r="A263" s="4"/>
      <c r="B263" s="4" t="s">
        <v>28</v>
      </c>
    </row>
    <row r="264" spans="1:2" x14ac:dyDescent="0.4">
      <c r="A264" s="4"/>
      <c r="B264" s="4" t="s">
        <v>28</v>
      </c>
    </row>
    <row r="265" spans="1:2" x14ac:dyDescent="0.4">
      <c r="A265" s="4"/>
      <c r="B265" s="4" t="s">
        <v>28</v>
      </c>
    </row>
    <row r="266" spans="1:2" x14ac:dyDescent="0.4">
      <c r="A266" s="4"/>
      <c r="B266" s="4" t="s">
        <v>28</v>
      </c>
    </row>
    <row r="267" spans="1:2" x14ac:dyDescent="0.4">
      <c r="A267" s="4"/>
      <c r="B267" s="4" t="s">
        <v>28</v>
      </c>
    </row>
    <row r="268" spans="1:2" x14ac:dyDescent="0.4">
      <c r="A268" s="4"/>
      <c r="B268" s="4" t="s">
        <v>28</v>
      </c>
    </row>
    <row r="269" spans="1:2" x14ac:dyDescent="0.4">
      <c r="A269" s="4"/>
      <c r="B269" s="4" t="s">
        <v>28</v>
      </c>
    </row>
    <row r="270" spans="1:2" x14ac:dyDescent="0.4">
      <c r="A270" s="4"/>
      <c r="B270" s="4" t="s">
        <v>28</v>
      </c>
    </row>
    <row r="271" spans="1:2" x14ac:dyDescent="0.4">
      <c r="A271" s="4"/>
      <c r="B271" s="4" t="s">
        <v>28</v>
      </c>
    </row>
    <row r="272" spans="1:2" x14ac:dyDescent="0.4">
      <c r="A272" s="4"/>
      <c r="B272" s="4" t="s">
        <v>28</v>
      </c>
    </row>
    <row r="273" spans="1:2" x14ac:dyDescent="0.4">
      <c r="A273" s="4"/>
      <c r="B273" s="4" t="s">
        <v>28</v>
      </c>
    </row>
    <row r="274" spans="1:2" x14ac:dyDescent="0.4">
      <c r="A274" s="4"/>
      <c r="B274" s="4" t="s">
        <v>28</v>
      </c>
    </row>
    <row r="275" spans="1:2" x14ac:dyDescent="0.4">
      <c r="A275" s="4"/>
      <c r="B275" s="4" t="s">
        <v>28</v>
      </c>
    </row>
    <row r="276" spans="1:2" x14ac:dyDescent="0.4">
      <c r="A276" s="4"/>
      <c r="B276" s="4" t="s">
        <v>28</v>
      </c>
    </row>
    <row r="277" spans="1:2" x14ac:dyDescent="0.4">
      <c r="A277" s="4"/>
      <c r="B277" s="4" t="s">
        <v>28</v>
      </c>
    </row>
    <row r="278" spans="1:2" x14ac:dyDescent="0.4">
      <c r="A278" s="4"/>
      <c r="B278" s="4" t="s">
        <v>28</v>
      </c>
    </row>
    <row r="279" spans="1:2" x14ac:dyDescent="0.4">
      <c r="A279" s="4"/>
      <c r="B279" s="4" t="s">
        <v>28</v>
      </c>
    </row>
    <row r="280" spans="1:2" x14ac:dyDescent="0.4">
      <c r="A280" s="4"/>
      <c r="B280" s="4" t="s">
        <v>28</v>
      </c>
    </row>
    <row r="281" spans="1:2" x14ac:dyDescent="0.4">
      <c r="A281" s="4"/>
      <c r="B281" s="4" t="s">
        <v>28</v>
      </c>
    </row>
    <row r="282" spans="1:2" x14ac:dyDescent="0.4">
      <c r="A282" s="4"/>
      <c r="B282" s="4" t="s">
        <v>28</v>
      </c>
    </row>
    <row r="283" spans="1:2" x14ac:dyDescent="0.4">
      <c r="A283" s="4"/>
      <c r="B283" s="4" t="s">
        <v>28</v>
      </c>
    </row>
    <row r="284" spans="1:2" x14ac:dyDescent="0.4">
      <c r="A284" s="4"/>
      <c r="B284" s="4" t="s">
        <v>28</v>
      </c>
    </row>
    <row r="285" spans="1:2" x14ac:dyDescent="0.4">
      <c r="A285" s="4"/>
      <c r="B285" s="4" t="s">
        <v>28</v>
      </c>
    </row>
    <row r="286" spans="1:2" x14ac:dyDescent="0.4">
      <c r="A286" s="4"/>
      <c r="B286" s="4" t="s">
        <v>28</v>
      </c>
    </row>
    <row r="287" spans="1:2" x14ac:dyDescent="0.4">
      <c r="A287" s="4"/>
      <c r="B287" s="4" t="s">
        <v>28</v>
      </c>
    </row>
    <row r="288" spans="1:2" x14ac:dyDescent="0.4">
      <c r="A288" s="4"/>
      <c r="B288" s="4" t="s">
        <v>28</v>
      </c>
    </row>
    <row r="289" spans="1:2" x14ac:dyDescent="0.4">
      <c r="A289" s="4"/>
      <c r="B289" s="4" t="s">
        <v>28</v>
      </c>
    </row>
    <row r="290" spans="1:2" x14ac:dyDescent="0.4">
      <c r="A290" s="4"/>
      <c r="B290" s="4" t="s">
        <v>28</v>
      </c>
    </row>
    <row r="291" spans="1:2" x14ac:dyDescent="0.4">
      <c r="A291" s="4"/>
      <c r="B291" s="4" t="s">
        <v>28</v>
      </c>
    </row>
    <row r="292" spans="1:2" x14ac:dyDescent="0.4">
      <c r="A292" s="4"/>
      <c r="B292" s="4" t="s">
        <v>28</v>
      </c>
    </row>
    <row r="293" spans="1:2" x14ac:dyDescent="0.4">
      <c r="A293" s="4"/>
      <c r="B293" s="4" t="s">
        <v>28</v>
      </c>
    </row>
    <row r="294" spans="1:2" x14ac:dyDescent="0.4">
      <c r="A294" s="4"/>
      <c r="B294" s="4" t="s">
        <v>28</v>
      </c>
    </row>
    <row r="295" spans="1:2" x14ac:dyDescent="0.4">
      <c r="A295" s="4"/>
      <c r="B295" s="4" t="s">
        <v>28</v>
      </c>
    </row>
    <row r="296" spans="1:2" x14ac:dyDescent="0.4">
      <c r="A296" s="4"/>
      <c r="B296" s="4" t="s">
        <v>28</v>
      </c>
    </row>
    <row r="297" spans="1:2" x14ac:dyDescent="0.4">
      <c r="A297" s="4"/>
      <c r="B297" s="4" t="s">
        <v>28</v>
      </c>
    </row>
    <row r="298" spans="1:2" x14ac:dyDescent="0.4">
      <c r="A298" s="4"/>
      <c r="B298" s="4" t="s">
        <v>28</v>
      </c>
    </row>
    <row r="299" spans="1:2" x14ac:dyDescent="0.4">
      <c r="A299" s="4"/>
      <c r="B299" s="4" t="s">
        <v>28</v>
      </c>
    </row>
    <row r="300" spans="1:2" x14ac:dyDescent="0.4">
      <c r="A300" s="4"/>
      <c r="B300" s="4" t="s">
        <v>28</v>
      </c>
    </row>
    <row r="301" spans="1:2" x14ac:dyDescent="0.4">
      <c r="A301" s="4"/>
      <c r="B301" s="4" t="s">
        <v>28</v>
      </c>
    </row>
    <row r="302" spans="1:2" x14ac:dyDescent="0.4">
      <c r="A302" s="4"/>
      <c r="B302" s="4" t="s">
        <v>28</v>
      </c>
    </row>
    <row r="303" spans="1:2" x14ac:dyDescent="0.4">
      <c r="A303" s="4"/>
      <c r="B303" s="4" t="s">
        <v>28</v>
      </c>
    </row>
    <row r="304" spans="1:2" x14ac:dyDescent="0.4">
      <c r="A304" s="4"/>
      <c r="B304" s="4" t="s">
        <v>28</v>
      </c>
    </row>
    <row r="305" spans="1:2" x14ac:dyDescent="0.4">
      <c r="A305" s="4"/>
      <c r="B305" s="4" t="s">
        <v>28</v>
      </c>
    </row>
    <row r="306" spans="1:2" x14ac:dyDescent="0.4">
      <c r="A306" s="4"/>
      <c r="B306" s="4" t="s">
        <v>28</v>
      </c>
    </row>
    <row r="307" spans="1:2" x14ac:dyDescent="0.4">
      <c r="A307" s="4"/>
      <c r="B307" s="4" t="s">
        <v>28</v>
      </c>
    </row>
    <row r="308" spans="1:2" x14ac:dyDescent="0.4">
      <c r="A308" s="4"/>
      <c r="B308" s="4" t="s">
        <v>28</v>
      </c>
    </row>
    <row r="309" spans="1:2" x14ac:dyDescent="0.4">
      <c r="A309" s="4"/>
      <c r="B309" s="4" t="s">
        <v>28</v>
      </c>
    </row>
    <row r="310" spans="1:2" x14ac:dyDescent="0.4">
      <c r="A310" s="4"/>
      <c r="B310" s="4" t="s">
        <v>28</v>
      </c>
    </row>
    <row r="311" spans="1:2" x14ac:dyDescent="0.4">
      <c r="A311" s="4"/>
      <c r="B311" s="4" t="s">
        <v>28</v>
      </c>
    </row>
    <row r="312" spans="1:2" x14ac:dyDescent="0.4">
      <c r="A312" s="4"/>
      <c r="B312" s="4" t="s">
        <v>28</v>
      </c>
    </row>
    <row r="313" spans="1:2" x14ac:dyDescent="0.4">
      <c r="A313" s="4"/>
      <c r="B313" s="4" t="s">
        <v>28</v>
      </c>
    </row>
    <row r="314" spans="1:2" x14ac:dyDescent="0.4">
      <c r="A314" s="4"/>
      <c r="B314" s="4" t="s">
        <v>28</v>
      </c>
    </row>
    <row r="315" spans="1:2" x14ac:dyDescent="0.4">
      <c r="A315" s="4"/>
      <c r="B315" s="4" t="s">
        <v>28</v>
      </c>
    </row>
    <row r="316" spans="1:2" x14ac:dyDescent="0.4">
      <c r="A316" s="4"/>
      <c r="B316" s="4" t="s">
        <v>28</v>
      </c>
    </row>
    <row r="317" spans="1:2" x14ac:dyDescent="0.4">
      <c r="A317" s="4"/>
      <c r="B317" s="4" t="s">
        <v>28</v>
      </c>
    </row>
    <row r="318" spans="1:2" x14ac:dyDescent="0.4">
      <c r="A318" s="4"/>
      <c r="B318" s="4" t="s">
        <v>28</v>
      </c>
    </row>
    <row r="319" spans="1:2" x14ac:dyDescent="0.4">
      <c r="A319" s="4"/>
      <c r="B319" s="4" t="s">
        <v>28</v>
      </c>
    </row>
    <row r="320" spans="1:2" x14ac:dyDescent="0.4">
      <c r="A320" s="4"/>
      <c r="B320" s="4" t="s">
        <v>28</v>
      </c>
    </row>
    <row r="321" spans="1:2" x14ac:dyDescent="0.4">
      <c r="A321" s="4"/>
      <c r="B321" s="4" t="s">
        <v>28</v>
      </c>
    </row>
    <row r="322" spans="1:2" x14ac:dyDescent="0.4">
      <c r="A322" s="4"/>
      <c r="B322" s="4" t="s">
        <v>28</v>
      </c>
    </row>
    <row r="323" spans="1:2" x14ac:dyDescent="0.4">
      <c r="A323" s="4"/>
      <c r="B323" s="4" t="s">
        <v>28</v>
      </c>
    </row>
    <row r="324" spans="1:2" x14ac:dyDescent="0.4">
      <c r="A324" s="4"/>
      <c r="B324" s="4" t="s">
        <v>28</v>
      </c>
    </row>
    <row r="325" spans="1:2" x14ac:dyDescent="0.4">
      <c r="A325" s="4"/>
      <c r="B325" s="4" t="s">
        <v>28</v>
      </c>
    </row>
    <row r="326" spans="1:2" x14ac:dyDescent="0.4">
      <c r="A326" s="4"/>
      <c r="B326" s="4" t="s">
        <v>28</v>
      </c>
    </row>
    <row r="327" spans="1:2" x14ac:dyDescent="0.4">
      <c r="A327" s="4"/>
      <c r="B327" s="4" t="s">
        <v>28</v>
      </c>
    </row>
    <row r="328" spans="1:2" x14ac:dyDescent="0.4">
      <c r="A328" s="4"/>
      <c r="B328" s="4" t="s">
        <v>28</v>
      </c>
    </row>
    <row r="329" spans="1:2" x14ac:dyDescent="0.4">
      <c r="A329" s="4"/>
      <c r="B329" s="4" t="s">
        <v>28</v>
      </c>
    </row>
    <row r="330" spans="1:2" x14ac:dyDescent="0.4">
      <c r="A330" s="4"/>
      <c r="B330" s="4" t="s">
        <v>28</v>
      </c>
    </row>
    <row r="331" spans="1:2" x14ac:dyDescent="0.4">
      <c r="A331" s="4"/>
      <c r="B331" s="4" t="s">
        <v>28</v>
      </c>
    </row>
    <row r="332" spans="1:2" x14ac:dyDescent="0.4">
      <c r="A332" s="4"/>
      <c r="B332" s="4" t="s">
        <v>28</v>
      </c>
    </row>
    <row r="333" spans="1:2" x14ac:dyDescent="0.4">
      <c r="A333" s="4"/>
      <c r="B333" s="4" t="s">
        <v>28</v>
      </c>
    </row>
    <row r="334" spans="1:2" x14ac:dyDescent="0.4">
      <c r="A334" s="4"/>
      <c r="B334" s="4" t="s">
        <v>28</v>
      </c>
    </row>
    <row r="335" spans="1:2" x14ac:dyDescent="0.4">
      <c r="A335" s="4"/>
      <c r="B335" s="4" t="s">
        <v>28</v>
      </c>
    </row>
    <row r="336" spans="1:2" x14ac:dyDescent="0.4">
      <c r="A336" s="4"/>
      <c r="B336" s="4" t="s">
        <v>28</v>
      </c>
    </row>
    <row r="337" spans="1:2" x14ac:dyDescent="0.4">
      <c r="A337" s="4"/>
      <c r="B337" s="4" t="s">
        <v>28</v>
      </c>
    </row>
    <row r="338" spans="1:2" x14ac:dyDescent="0.4">
      <c r="A338" s="4"/>
      <c r="B338" s="4" t="s">
        <v>28</v>
      </c>
    </row>
    <row r="339" spans="1:2" x14ac:dyDescent="0.4">
      <c r="A339" s="4"/>
      <c r="B339" s="4" t="s">
        <v>28</v>
      </c>
    </row>
    <row r="340" spans="1:2" x14ac:dyDescent="0.4">
      <c r="A340" s="4"/>
      <c r="B340" s="4" t="s">
        <v>28</v>
      </c>
    </row>
    <row r="341" spans="1:2" x14ac:dyDescent="0.4">
      <c r="A341" s="4"/>
      <c r="B341" s="4" t="s">
        <v>28</v>
      </c>
    </row>
    <row r="342" spans="1:2" x14ac:dyDescent="0.4">
      <c r="A342" s="4"/>
      <c r="B342" s="4" t="s">
        <v>28</v>
      </c>
    </row>
    <row r="343" spans="1:2" x14ac:dyDescent="0.4">
      <c r="A343" s="4"/>
      <c r="B343" s="4" t="s">
        <v>28</v>
      </c>
    </row>
    <row r="344" spans="1:2" x14ac:dyDescent="0.4">
      <c r="A344" s="4"/>
      <c r="B344" s="4" t="s">
        <v>28</v>
      </c>
    </row>
    <row r="345" spans="1:2" x14ac:dyDescent="0.4">
      <c r="A345" s="4"/>
      <c r="B345" s="4" t="s">
        <v>28</v>
      </c>
    </row>
    <row r="346" spans="1:2" x14ac:dyDescent="0.4">
      <c r="A346" s="4"/>
      <c r="B346" s="4" t="s">
        <v>28</v>
      </c>
    </row>
    <row r="347" spans="1:2" x14ac:dyDescent="0.4">
      <c r="A347" s="4"/>
      <c r="B347" s="4" t="s">
        <v>28</v>
      </c>
    </row>
    <row r="348" spans="1:2" x14ac:dyDescent="0.4">
      <c r="A348" s="4"/>
      <c r="B348" s="4" t="s">
        <v>28</v>
      </c>
    </row>
    <row r="349" spans="1:2" x14ac:dyDescent="0.4">
      <c r="A349" s="4"/>
      <c r="B349" s="4" t="s">
        <v>28</v>
      </c>
    </row>
    <row r="350" spans="1:2" x14ac:dyDescent="0.4">
      <c r="A350" s="4"/>
      <c r="B350" s="4" t="s">
        <v>28</v>
      </c>
    </row>
    <row r="351" spans="1:2" x14ac:dyDescent="0.4">
      <c r="A351" s="4"/>
      <c r="B351" s="4" t="s">
        <v>28</v>
      </c>
    </row>
    <row r="352" spans="1:2" x14ac:dyDescent="0.4">
      <c r="A352" s="4"/>
      <c r="B352" s="4" t="s">
        <v>28</v>
      </c>
    </row>
    <row r="353" spans="1:2" x14ac:dyDescent="0.4">
      <c r="A353" s="4"/>
      <c r="B353" s="4" t="s">
        <v>28</v>
      </c>
    </row>
    <row r="354" spans="1:2" x14ac:dyDescent="0.4">
      <c r="A354" s="4"/>
      <c r="B354" s="4" t="s">
        <v>28</v>
      </c>
    </row>
    <row r="355" spans="1:2" x14ac:dyDescent="0.4">
      <c r="A355" s="4"/>
      <c r="B355" s="4" t="s">
        <v>28</v>
      </c>
    </row>
    <row r="356" spans="1:2" x14ac:dyDescent="0.4">
      <c r="A356" s="4"/>
      <c r="B356" s="4" t="s">
        <v>28</v>
      </c>
    </row>
    <row r="357" spans="1:2" x14ac:dyDescent="0.4">
      <c r="A357" s="4"/>
      <c r="B357" s="4" t="s">
        <v>28</v>
      </c>
    </row>
    <row r="358" spans="1:2" x14ac:dyDescent="0.4">
      <c r="A358" s="4"/>
      <c r="B358" s="4" t="s">
        <v>28</v>
      </c>
    </row>
    <row r="359" spans="1:2" x14ac:dyDescent="0.4">
      <c r="A359" s="4"/>
      <c r="B359" s="4" t="s">
        <v>28</v>
      </c>
    </row>
    <row r="360" spans="1:2" x14ac:dyDescent="0.4">
      <c r="A360" s="4"/>
      <c r="B360" s="4" t="s">
        <v>28</v>
      </c>
    </row>
    <row r="361" spans="1:2" x14ac:dyDescent="0.4">
      <c r="A361" s="4"/>
      <c r="B361" s="4" t="s">
        <v>28</v>
      </c>
    </row>
    <row r="362" spans="1:2" x14ac:dyDescent="0.4">
      <c r="A362" s="4"/>
      <c r="B362" s="4" t="s">
        <v>28</v>
      </c>
    </row>
    <row r="363" spans="1:2" x14ac:dyDescent="0.4">
      <c r="A363" s="4"/>
      <c r="B363" s="4" t="s">
        <v>28</v>
      </c>
    </row>
    <row r="364" spans="1:2" x14ac:dyDescent="0.4">
      <c r="A364" s="4"/>
      <c r="B364" s="4" t="s">
        <v>28</v>
      </c>
    </row>
    <row r="365" spans="1:2" x14ac:dyDescent="0.4">
      <c r="A365" s="4"/>
      <c r="B365" s="4" t="s">
        <v>28</v>
      </c>
    </row>
    <row r="366" spans="1:2" x14ac:dyDescent="0.4">
      <c r="A366" s="4"/>
      <c r="B366" s="4" t="s">
        <v>28</v>
      </c>
    </row>
    <row r="367" spans="1:2" x14ac:dyDescent="0.4">
      <c r="A367" s="4"/>
      <c r="B367" s="4" t="s">
        <v>28</v>
      </c>
    </row>
    <row r="368" spans="1:2" x14ac:dyDescent="0.4">
      <c r="A368" s="4"/>
      <c r="B368" s="4" t="s">
        <v>28</v>
      </c>
    </row>
    <row r="369" spans="1:2" x14ac:dyDescent="0.4">
      <c r="A369" s="4"/>
      <c r="B369" s="4" t="s">
        <v>28</v>
      </c>
    </row>
    <row r="370" spans="1:2" x14ac:dyDescent="0.4">
      <c r="A370" s="4"/>
      <c r="B370" s="4" t="s">
        <v>28</v>
      </c>
    </row>
    <row r="371" spans="1:2" x14ac:dyDescent="0.4">
      <c r="A371" s="4"/>
      <c r="B371" s="4" t="s">
        <v>28</v>
      </c>
    </row>
    <row r="372" spans="1:2" x14ac:dyDescent="0.4">
      <c r="A372" s="4"/>
      <c r="B372" s="4" t="s">
        <v>28</v>
      </c>
    </row>
    <row r="373" spans="1:2" x14ac:dyDescent="0.4">
      <c r="A373" s="4"/>
      <c r="B373" s="4" t="s">
        <v>28</v>
      </c>
    </row>
    <row r="374" spans="1:2" x14ac:dyDescent="0.4">
      <c r="A374" s="4"/>
      <c r="B374" s="4" t="s">
        <v>28</v>
      </c>
    </row>
    <row r="375" spans="1:2" x14ac:dyDescent="0.4">
      <c r="A375" s="4"/>
      <c r="B375" s="4" t="s">
        <v>28</v>
      </c>
    </row>
    <row r="376" spans="1:2" x14ac:dyDescent="0.4">
      <c r="A376" s="4"/>
      <c r="B376" s="4" t="s">
        <v>28</v>
      </c>
    </row>
    <row r="377" spans="1:2" x14ac:dyDescent="0.4">
      <c r="A377" s="4"/>
      <c r="B377" s="4" t="s">
        <v>28</v>
      </c>
    </row>
    <row r="378" spans="1:2" x14ac:dyDescent="0.4">
      <c r="A378" s="4"/>
      <c r="B378" s="4" t="s">
        <v>28</v>
      </c>
    </row>
    <row r="379" spans="1:2" x14ac:dyDescent="0.4">
      <c r="A379" s="4"/>
      <c r="B379" s="4" t="s">
        <v>28</v>
      </c>
    </row>
    <row r="380" spans="1:2" x14ac:dyDescent="0.4">
      <c r="A380" s="4"/>
      <c r="B380" s="4" t="s">
        <v>28</v>
      </c>
    </row>
    <row r="381" spans="1:2" x14ac:dyDescent="0.4">
      <c r="A381" s="4"/>
      <c r="B381" s="4" t="s">
        <v>28</v>
      </c>
    </row>
    <row r="382" spans="1:2" x14ac:dyDescent="0.4">
      <c r="A382" s="4"/>
      <c r="B382" s="4" t="s">
        <v>28</v>
      </c>
    </row>
    <row r="383" spans="1:2" x14ac:dyDescent="0.4">
      <c r="A383" s="4"/>
      <c r="B383" s="4" t="s">
        <v>28</v>
      </c>
    </row>
    <row r="384" spans="1:2" x14ac:dyDescent="0.4">
      <c r="A384" s="4"/>
      <c r="B384" s="4" t="s">
        <v>28</v>
      </c>
    </row>
    <row r="385" spans="1:2" x14ac:dyDescent="0.4">
      <c r="A385" s="4"/>
      <c r="B385" s="4" t="s">
        <v>28</v>
      </c>
    </row>
    <row r="386" spans="1:2" x14ac:dyDescent="0.4">
      <c r="A386" s="4"/>
      <c r="B386" s="4" t="s">
        <v>28</v>
      </c>
    </row>
    <row r="387" spans="1:2" x14ac:dyDescent="0.4">
      <c r="A387" s="4"/>
      <c r="B387" s="4" t="s">
        <v>28</v>
      </c>
    </row>
    <row r="388" spans="1:2" x14ac:dyDescent="0.4">
      <c r="A388" s="4"/>
      <c r="B388" s="4" t="s">
        <v>28</v>
      </c>
    </row>
    <row r="389" spans="1:2" x14ac:dyDescent="0.4">
      <c r="A389" s="4"/>
      <c r="B389" s="4" t="s">
        <v>28</v>
      </c>
    </row>
    <row r="390" spans="1:2" x14ac:dyDescent="0.4">
      <c r="A390" s="4"/>
      <c r="B390" s="4" t="s">
        <v>28</v>
      </c>
    </row>
    <row r="391" spans="1:2" x14ac:dyDescent="0.4">
      <c r="A391" s="4"/>
      <c r="B391" s="4" t="s">
        <v>28</v>
      </c>
    </row>
    <row r="392" spans="1:2" x14ac:dyDescent="0.4">
      <c r="A392" s="4"/>
      <c r="B392" s="4" t="s">
        <v>28</v>
      </c>
    </row>
    <row r="393" spans="1:2" x14ac:dyDescent="0.4">
      <c r="A393" s="4"/>
      <c r="B393" s="4" t="s">
        <v>28</v>
      </c>
    </row>
    <row r="394" spans="1:2" x14ac:dyDescent="0.4">
      <c r="A394" s="4"/>
      <c r="B394" s="4" t="s">
        <v>28</v>
      </c>
    </row>
    <row r="395" spans="1:2" x14ac:dyDescent="0.4">
      <c r="A395" s="4"/>
      <c r="B395" s="4" t="s">
        <v>28</v>
      </c>
    </row>
    <row r="396" spans="1:2" x14ac:dyDescent="0.4">
      <c r="A396" s="4"/>
      <c r="B396" s="4" t="s">
        <v>28</v>
      </c>
    </row>
    <row r="397" spans="1:2" x14ac:dyDescent="0.4">
      <c r="A397" s="4"/>
      <c r="B397" s="4" t="s">
        <v>28</v>
      </c>
    </row>
    <row r="398" spans="1:2" x14ac:dyDescent="0.4">
      <c r="A398" s="4"/>
      <c r="B398" s="4" t="s">
        <v>28</v>
      </c>
    </row>
    <row r="399" spans="1:2" x14ac:dyDescent="0.4">
      <c r="A399" s="4"/>
      <c r="B399" s="4" t="s">
        <v>28</v>
      </c>
    </row>
    <row r="400" spans="1:2" x14ac:dyDescent="0.4">
      <c r="A400" s="4"/>
      <c r="B400" s="4" t="s">
        <v>28</v>
      </c>
    </row>
    <row r="401" spans="1:2" x14ac:dyDescent="0.4">
      <c r="A401" s="4"/>
      <c r="B401" s="4" t="s">
        <v>28</v>
      </c>
    </row>
    <row r="402" spans="1:2" x14ac:dyDescent="0.4">
      <c r="A402" s="4"/>
      <c r="B402" s="4" t="s">
        <v>28</v>
      </c>
    </row>
    <row r="403" spans="1:2" x14ac:dyDescent="0.4">
      <c r="A403" s="4"/>
      <c r="B403" s="4" t="s">
        <v>28</v>
      </c>
    </row>
    <row r="404" spans="1:2" x14ac:dyDescent="0.4">
      <c r="A404" s="4"/>
      <c r="B404" s="4" t="s">
        <v>28</v>
      </c>
    </row>
    <row r="405" spans="1:2" x14ac:dyDescent="0.4">
      <c r="A405" s="4"/>
      <c r="B405" s="4" t="s">
        <v>28</v>
      </c>
    </row>
    <row r="406" spans="1:2" x14ac:dyDescent="0.4">
      <c r="A406" s="4"/>
      <c r="B406" s="4" t="s">
        <v>28</v>
      </c>
    </row>
    <row r="407" spans="1:2" x14ac:dyDescent="0.4">
      <c r="A407" s="4"/>
      <c r="B407" s="4" t="s">
        <v>28</v>
      </c>
    </row>
    <row r="408" spans="1:2" x14ac:dyDescent="0.4">
      <c r="A408" s="4"/>
      <c r="B408" s="4" t="s">
        <v>28</v>
      </c>
    </row>
    <row r="409" spans="1:2" x14ac:dyDescent="0.4">
      <c r="A409" s="4"/>
      <c r="B409" s="4" t="s">
        <v>28</v>
      </c>
    </row>
    <row r="410" spans="1:2" x14ac:dyDescent="0.4">
      <c r="A410" s="4"/>
      <c r="B410" s="4" t="s">
        <v>28</v>
      </c>
    </row>
    <row r="411" spans="1:2" x14ac:dyDescent="0.4">
      <c r="A411" s="4"/>
      <c r="B411" s="4" t="s">
        <v>28</v>
      </c>
    </row>
    <row r="412" spans="1:2" x14ac:dyDescent="0.4">
      <c r="A412" s="4"/>
      <c r="B412" s="4" t="s">
        <v>28</v>
      </c>
    </row>
    <row r="413" spans="1:2" x14ac:dyDescent="0.4">
      <c r="A413" s="4"/>
      <c r="B413" s="4" t="s">
        <v>28</v>
      </c>
    </row>
    <row r="414" spans="1:2" x14ac:dyDescent="0.4">
      <c r="A414" s="4"/>
      <c r="B414" s="4" t="s">
        <v>28</v>
      </c>
    </row>
    <row r="415" spans="1:2" x14ac:dyDescent="0.4">
      <c r="A415" s="4"/>
      <c r="B415" s="4" t="s">
        <v>28</v>
      </c>
    </row>
    <row r="416" spans="1:2" x14ac:dyDescent="0.4">
      <c r="A416" s="4"/>
      <c r="B416" s="4" t="s">
        <v>28</v>
      </c>
    </row>
    <row r="417" spans="1:2" x14ac:dyDescent="0.4">
      <c r="A417" s="4"/>
      <c r="B417" s="4" t="s">
        <v>28</v>
      </c>
    </row>
    <row r="418" spans="1:2" x14ac:dyDescent="0.4">
      <c r="A418" s="4"/>
      <c r="B418" s="4" t="s">
        <v>28</v>
      </c>
    </row>
    <row r="419" spans="1:2" x14ac:dyDescent="0.4">
      <c r="A419" s="4"/>
      <c r="B419" s="4" t="s">
        <v>28</v>
      </c>
    </row>
    <row r="420" spans="1:2" x14ac:dyDescent="0.4">
      <c r="A420" s="4"/>
      <c r="B420" s="4" t="s">
        <v>28</v>
      </c>
    </row>
    <row r="421" spans="1:2" x14ac:dyDescent="0.4">
      <c r="A421" s="4"/>
      <c r="B421" s="4" t="s">
        <v>28</v>
      </c>
    </row>
    <row r="422" spans="1:2" x14ac:dyDescent="0.4">
      <c r="A422" s="4"/>
      <c r="B422" s="4" t="s">
        <v>28</v>
      </c>
    </row>
    <row r="423" spans="1:2" x14ac:dyDescent="0.4">
      <c r="A423" s="4"/>
      <c r="B423" s="4" t="s">
        <v>28</v>
      </c>
    </row>
    <row r="424" spans="1:2" x14ac:dyDescent="0.4">
      <c r="A424" s="4"/>
      <c r="B424" s="4" t="s">
        <v>28</v>
      </c>
    </row>
    <row r="425" spans="1:2" x14ac:dyDescent="0.4">
      <c r="A425" s="4"/>
      <c r="B425" s="4" t="s">
        <v>28</v>
      </c>
    </row>
    <row r="426" spans="1:2" x14ac:dyDescent="0.4">
      <c r="A426" s="4"/>
      <c r="B426" s="4" t="s">
        <v>28</v>
      </c>
    </row>
    <row r="427" spans="1:2" x14ac:dyDescent="0.4">
      <c r="A427" s="4"/>
      <c r="B427" s="4" t="s">
        <v>28</v>
      </c>
    </row>
    <row r="428" spans="1:2" x14ac:dyDescent="0.4">
      <c r="A428" s="4"/>
      <c r="B428" s="4" t="s">
        <v>28</v>
      </c>
    </row>
    <row r="429" spans="1:2" x14ac:dyDescent="0.4">
      <c r="A429" s="4"/>
      <c r="B429" s="4" t="s">
        <v>28</v>
      </c>
    </row>
    <row r="430" spans="1:2" x14ac:dyDescent="0.4">
      <c r="A430" s="4"/>
      <c r="B430" s="4" t="s">
        <v>28</v>
      </c>
    </row>
    <row r="431" spans="1:2" x14ac:dyDescent="0.4">
      <c r="A431" s="4"/>
      <c r="B431" s="4" t="s">
        <v>28</v>
      </c>
    </row>
    <row r="432" spans="1:2" x14ac:dyDescent="0.4">
      <c r="A432" s="4"/>
      <c r="B432" s="4" t="s">
        <v>28</v>
      </c>
    </row>
    <row r="433" spans="1:2" x14ac:dyDescent="0.4">
      <c r="A433" s="4"/>
      <c r="B433" s="4" t="s">
        <v>28</v>
      </c>
    </row>
    <row r="434" spans="1:2" x14ac:dyDescent="0.4">
      <c r="A434" s="4"/>
      <c r="B434" s="4" t="s">
        <v>28</v>
      </c>
    </row>
    <row r="435" spans="1:2" x14ac:dyDescent="0.4">
      <c r="A435" s="4"/>
      <c r="B435" s="4" t="s">
        <v>28</v>
      </c>
    </row>
    <row r="436" spans="1:2" x14ac:dyDescent="0.4">
      <c r="A436" s="4"/>
      <c r="B436" s="4" t="s">
        <v>28</v>
      </c>
    </row>
    <row r="437" spans="1:2" x14ac:dyDescent="0.4">
      <c r="A437" s="4"/>
      <c r="B437" s="4" t="s">
        <v>28</v>
      </c>
    </row>
    <row r="438" spans="1:2" x14ac:dyDescent="0.4">
      <c r="A438" s="4"/>
      <c r="B438" s="4" t="s">
        <v>28</v>
      </c>
    </row>
    <row r="439" spans="1:2" x14ac:dyDescent="0.4">
      <c r="A439" s="4"/>
      <c r="B439" s="4" t="s">
        <v>28</v>
      </c>
    </row>
    <row r="440" spans="1:2" x14ac:dyDescent="0.4">
      <c r="A440" s="4"/>
      <c r="B440" s="4" t="s">
        <v>28</v>
      </c>
    </row>
    <row r="441" spans="1:2" x14ac:dyDescent="0.4">
      <c r="A441" s="4"/>
      <c r="B441" s="4" t="s">
        <v>28</v>
      </c>
    </row>
    <row r="442" spans="1:2" x14ac:dyDescent="0.4">
      <c r="A442" s="4"/>
      <c r="B442" s="4" t="s">
        <v>28</v>
      </c>
    </row>
    <row r="443" spans="1:2" x14ac:dyDescent="0.4">
      <c r="A443" s="4"/>
      <c r="B443" s="4" t="s">
        <v>28</v>
      </c>
    </row>
    <row r="444" spans="1:2" x14ac:dyDescent="0.4">
      <c r="A444" s="4"/>
      <c r="B444" s="4" t="s">
        <v>28</v>
      </c>
    </row>
    <row r="445" spans="1:2" x14ac:dyDescent="0.4">
      <c r="A445" s="4"/>
      <c r="B445" s="4" t="s">
        <v>28</v>
      </c>
    </row>
    <row r="446" spans="1:2" x14ac:dyDescent="0.4">
      <c r="A446" s="4"/>
      <c r="B446" s="4" t="s">
        <v>28</v>
      </c>
    </row>
    <row r="447" spans="1:2" x14ac:dyDescent="0.4">
      <c r="A447" s="4"/>
      <c r="B447" s="4" t="s">
        <v>28</v>
      </c>
    </row>
    <row r="448" spans="1:2" x14ac:dyDescent="0.4">
      <c r="A448" s="4"/>
      <c r="B448" s="4" t="s">
        <v>28</v>
      </c>
    </row>
    <row r="449" spans="1:2" x14ac:dyDescent="0.4">
      <c r="A449" s="4"/>
      <c r="B449" s="4" t="s">
        <v>28</v>
      </c>
    </row>
    <row r="450" spans="1:2" x14ac:dyDescent="0.4">
      <c r="A450" s="4"/>
      <c r="B450" s="4" t="s">
        <v>28</v>
      </c>
    </row>
    <row r="451" spans="1:2" x14ac:dyDescent="0.4">
      <c r="A451" s="4"/>
      <c r="B451" s="4" t="s">
        <v>28</v>
      </c>
    </row>
    <row r="452" spans="1:2" x14ac:dyDescent="0.4">
      <c r="A452" s="4"/>
      <c r="B452" s="4" t="s">
        <v>28</v>
      </c>
    </row>
    <row r="453" spans="1:2" x14ac:dyDescent="0.4">
      <c r="A453" s="4"/>
      <c r="B453" s="4" t="s">
        <v>28</v>
      </c>
    </row>
    <row r="454" spans="1:2" x14ac:dyDescent="0.4">
      <c r="A454" s="4"/>
      <c r="B454" s="4" t="s">
        <v>28</v>
      </c>
    </row>
    <row r="455" spans="1:2" x14ac:dyDescent="0.4">
      <c r="A455" s="4"/>
      <c r="B455" s="4" t="s">
        <v>28</v>
      </c>
    </row>
    <row r="456" spans="1:2" x14ac:dyDescent="0.4">
      <c r="A456" s="4"/>
      <c r="B456" s="4" t="s">
        <v>28</v>
      </c>
    </row>
    <row r="457" spans="1:2" x14ac:dyDescent="0.4">
      <c r="A457" s="4"/>
      <c r="B457" s="4" t="s">
        <v>28</v>
      </c>
    </row>
    <row r="458" spans="1:2" x14ac:dyDescent="0.4">
      <c r="A458" s="4"/>
      <c r="B458" s="4" t="s">
        <v>28</v>
      </c>
    </row>
    <row r="459" spans="1:2" x14ac:dyDescent="0.4">
      <c r="A459" s="4"/>
      <c r="B459" s="4" t="s">
        <v>28</v>
      </c>
    </row>
    <row r="460" spans="1:2" x14ac:dyDescent="0.4">
      <c r="A460" s="4"/>
      <c r="B460" s="4" t="s">
        <v>28</v>
      </c>
    </row>
    <row r="461" spans="1:2" x14ac:dyDescent="0.4">
      <c r="A461" s="4"/>
      <c r="B461" s="4" t="s">
        <v>28</v>
      </c>
    </row>
    <row r="462" spans="1:2" x14ac:dyDescent="0.4">
      <c r="A462" s="4"/>
      <c r="B462" s="4" t="s">
        <v>28</v>
      </c>
    </row>
    <row r="463" spans="1:2" x14ac:dyDescent="0.4">
      <c r="A463" s="4"/>
      <c r="B463" s="4" t="s">
        <v>28</v>
      </c>
    </row>
    <row r="464" spans="1:2" x14ac:dyDescent="0.4">
      <c r="A464" s="4"/>
      <c r="B464" s="4" t="s">
        <v>28</v>
      </c>
    </row>
    <row r="465" spans="1:2" x14ac:dyDescent="0.4">
      <c r="A465" s="4"/>
      <c r="B465" s="4" t="s">
        <v>28</v>
      </c>
    </row>
    <row r="466" spans="1:2" x14ac:dyDescent="0.4">
      <c r="A466" s="4"/>
      <c r="B466" s="4" t="s">
        <v>28</v>
      </c>
    </row>
    <row r="467" spans="1:2" x14ac:dyDescent="0.4">
      <c r="A467" s="4"/>
      <c r="B467" s="4" t="s">
        <v>28</v>
      </c>
    </row>
    <row r="468" spans="1:2" x14ac:dyDescent="0.4">
      <c r="A468" s="4"/>
      <c r="B468" s="4" t="s">
        <v>28</v>
      </c>
    </row>
    <row r="469" spans="1:2" x14ac:dyDescent="0.4">
      <c r="A469" s="4"/>
      <c r="B469" s="4" t="s">
        <v>28</v>
      </c>
    </row>
    <row r="470" spans="1:2" x14ac:dyDescent="0.4">
      <c r="A470" s="4"/>
      <c r="B470" s="4" t="s">
        <v>28</v>
      </c>
    </row>
    <row r="471" spans="1:2" x14ac:dyDescent="0.4">
      <c r="A471" s="4"/>
      <c r="B471" s="4" t="s">
        <v>28</v>
      </c>
    </row>
    <row r="472" spans="1:2" x14ac:dyDescent="0.4">
      <c r="A472" s="4"/>
      <c r="B472" s="4" t="s">
        <v>28</v>
      </c>
    </row>
    <row r="473" spans="1:2" x14ac:dyDescent="0.4">
      <c r="A473" s="4"/>
      <c r="B473" s="4" t="s">
        <v>28</v>
      </c>
    </row>
    <row r="474" spans="1:2" x14ac:dyDescent="0.4">
      <c r="A474" s="4"/>
      <c r="B474" s="4" t="s">
        <v>28</v>
      </c>
    </row>
    <row r="475" spans="1:2" x14ac:dyDescent="0.4">
      <c r="A475" s="4"/>
      <c r="B475" s="4" t="s">
        <v>28</v>
      </c>
    </row>
    <row r="476" spans="1:2" x14ac:dyDescent="0.4">
      <c r="A476" s="4"/>
      <c r="B476" s="4" t="s">
        <v>28</v>
      </c>
    </row>
    <row r="477" spans="1:2" x14ac:dyDescent="0.4">
      <c r="A477" s="4"/>
      <c r="B477" s="4" t="s">
        <v>28</v>
      </c>
    </row>
    <row r="478" spans="1:2" x14ac:dyDescent="0.4">
      <c r="A478" s="4"/>
      <c r="B478" s="4" t="s">
        <v>28</v>
      </c>
    </row>
    <row r="479" spans="1:2" x14ac:dyDescent="0.4">
      <c r="A479" s="4"/>
      <c r="B479" s="4" t="s">
        <v>28</v>
      </c>
    </row>
    <row r="480" spans="1:2" x14ac:dyDescent="0.4">
      <c r="A480" s="4"/>
      <c r="B480" s="4" t="s">
        <v>28</v>
      </c>
    </row>
    <row r="481" spans="1:2" x14ac:dyDescent="0.4">
      <c r="A481" s="4"/>
      <c r="B481" s="4" t="s">
        <v>28</v>
      </c>
    </row>
    <row r="482" spans="1:2" x14ac:dyDescent="0.4">
      <c r="A482" s="4"/>
      <c r="B482" s="4" t="s">
        <v>28</v>
      </c>
    </row>
    <row r="483" spans="1:2" x14ac:dyDescent="0.4">
      <c r="A483" s="4"/>
      <c r="B483" s="4" t="s">
        <v>28</v>
      </c>
    </row>
    <row r="484" spans="1:2" x14ac:dyDescent="0.4">
      <c r="A484" s="4"/>
      <c r="B484" s="4" t="s">
        <v>28</v>
      </c>
    </row>
    <row r="485" spans="1:2" x14ac:dyDescent="0.4">
      <c r="A485" s="4"/>
      <c r="B485" s="4" t="s">
        <v>28</v>
      </c>
    </row>
    <row r="486" spans="1:2" x14ac:dyDescent="0.4">
      <c r="A486" s="4"/>
      <c r="B486" s="4" t="s">
        <v>28</v>
      </c>
    </row>
    <row r="487" spans="1:2" x14ac:dyDescent="0.4">
      <c r="A487" s="4"/>
      <c r="B487" s="4" t="s">
        <v>28</v>
      </c>
    </row>
    <row r="488" spans="1:2" x14ac:dyDescent="0.4">
      <c r="A488" s="4"/>
      <c r="B488" s="4" t="s">
        <v>28</v>
      </c>
    </row>
    <row r="489" spans="1:2" x14ac:dyDescent="0.4">
      <c r="A489" s="4"/>
      <c r="B489" s="4" t="s">
        <v>28</v>
      </c>
    </row>
    <row r="490" spans="1:2" x14ac:dyDescent="0.4">
      <c r="A490" s="4"/>
      <c r="B490" s="4" t="s">
        <v>28</v>
      </c>
    </row>
    <row r="491" spans="1:2" x14ac:dyDescent="0.4">
      <c r="A491" s="4"/>
      <c r="B491" s="4" t="s">
        <v>28</v>
      </c>
    </row>
    <row r="492" spans="1:2" x14ac:dyDescent="0.4">
      <c r="A492" s="4"/>
      <c r="B492" s="4" t="s">
        <v>28</v>
      </c>
    </row>
    <row r="493" spans="1:2" x14ac:dyDescent="0.4">
      <c r="A493" s="4"/>
      <c r="B493" s="4" t="s">
        <v>28</v>
      </c>
    </row>
    <row r="494" spans="1:2" x14ac:dyDescent="0.4">
      <c r="A494" s="4"/>
      <c r="B494" s="4" t="s">
        <v>28</v>
      </c>
    </row>
    <row r="495" spans="1:2" x14ac:dyDescent="0.4">
      <c r="A495" s="4"/>
      <c r="B495" s="4" t="s">
        <v>28</v>
      </c>
    </row>
    <row r="496" spans="1:2" x14ac:dyDescent="0.4">
      <c r="A496" s="4"/>
      <c r="B496" s="4" t="s">
        <v>28</v>
      </c>
    </row>
    <row r="497" spans="1:2" x14ac:dyDescent="0.4">
      <c r="A497" s="4"/>
      <c r="B497" s="4" t="s">
        <v>28</v>
      </c>
    </row>
    <row r="498" spans="1:2" x14ac:dyDescent="0.4">
      <c r="A498" s="4"/>
      <c r="B498" s="4" t="s">
        <v>28</v>
      </c>
    </row>
    <row r="499" spans="1:2" x14ac:dyDescent="0.4">
      <c r="A499" s="4"/>
      <c r="B499" s="4" t="s">
        <v>28</v>
      </c>
    </row>
    <row r="500" spans="1:2" x14ac:dyDescent="0.4">
      <c r="A500" s="4"/>
      <c r="B500" s="4" t="s">
        <v>28</v>
      </c>
    </row>
    <row r="501" spans="1:2" x14ac:dyDescent="0.4">
      <c r="A501" s="4"/>
      <c r="B501" s="4" t="s">
        <v>28</v>
      </c>
    </row>
    <row r="502" spans="1:2" x14ac:dyDescent="0.4">
      <c r="A502" s="4"/>
      <c r="B502" s="4" t="s">
        <v>28</v>
      </c>
    </row>
    <row r="503" spans="1:2" x14ac:dyDescent="0.4">
      <c r="A503" s="4"/>
      <c r="B503" s="4" t="s">
        <v>28</v>
      </c>
    </row>
    <row r="504" spans="1:2" x14ac:dyDescent="0.4">
      <c r="A504" s="4"/>
      <c r="B504" s="4" t="s">
        <v>28</v>
      </c>
    </row>
    <row r="505" spans="1:2" x14ac:dyDescent="0.4">
      <c r="A505" s="4"/>
      <c r="B505" s="4" t="s">
        <v>28</v>
      </c>
    </row>
    <row r="506" spans="1:2" x14ac:dyDescent="0.4">
      <c r="A506" s="4"/>
      <c r="B506" s="4" t="s">
        <v>28</v>
      </c>
    </row>
    <row r="507" spans="1:2" x14ac:dyDescent="0.4">
      <c r="A507" s="4"/>
      <c r="B507" s="4" t="s">
        <v>28</v>
      </c>
    </row>
    <row r="508" spans="1:2" x14ac:dyDescent="0.4">
      <c r="A508" s="4"/>
      <c r="B508" s="4" t="s">
        <v>28</v>
      </c>
    </row>
    <row r="509" spans="1:2" x14ac:dyDescent="0.4">
      <c r="A509" s="4"/>
      <c r="B509" s="4" t="s">
        <v>28</v>
      </c>
    </row>
    <row r="510" spans="1:2" x14ac:dyDescent="0.4">
      <c r="A510" s="4"/>
      <c r="B510" s="4" t="s">
        <v>28</v>
      </c>
    </row>
    <row r="511" spans="1:2" x14ac:dyDescent="0.4">
      <c r="A511" s="4"/>
      <c r="B511" s="4" t="s">
        <v>28</v>
      </c>
    </row>
    <row r="512" spans="1:2" x14ac:dyDescent="0.4">
      <c r="A512" s="4"/>
      <c r="B512" s="4" t="s">
        <v>28</v>
      </c>
    </row>
    <row r="513" spans="1:2" x14ac:dyDescent="0.4">
      <c r="A513" s="4"/>
      <c r="B513" s="4" t="s">
        <v>28</v>
      </c>
    </row>
    <row r="514" spans="1:2" x14ac:dyDescent="0.4">
      <c r="A514" s="4"/>
      <c r="B514" s="4" t="s">
        <v>28</v>
      </c>
    </row>
    <row r="515" spans="1:2" x14ac:dyDescent="0.4">
      <c r="A515" s="4"/>
      <c r="B515" s="4" t="s">
        <v>28</v>
      </c>
    </row>
    <row r="516" spans="1:2" x14ac:dyDescent="0.4">
      <c r="A516" s="4"/>
      <c r="B516" s="4" t="s">
        <v>28</v>
      </c>
    </row>
    <row r="517" spans="1:2" x14ac:dyDescent="0.4">
      <c r="A517" s="4"/>
      <c r="B517" s="4" t="s">
        <v>28</v>
      </c>
    </row>
    <row r="518" spans="1:2" x14ac:dyDescent="0.4">
      <c r="A518" s="4"/>
      <c r="B518" s="4" t="s">
        <v>28</v>
      </c>
    </row>
    <row r="519" spans="1:2" x14ac:dyDescent="0.4">
      <c r="A519" s="4"/>
      <c r="B519" s="4" t="s">
        <v>28</v>
      </c>
    </row>
    <row r="520" spans="1:2" x14ac:dyDescent="0.4">
      <c r="A520" s="4"/>
      <c r="B520" s="4" t="s">
        <v>28</v>
      </c>
    </row>
    <row r="521" spans="1:2" x14ac:dyDescent="0.4">
      <c r="A521" s="4"/>
      <c r="B521" s="4" t="s">
        <v>28</v>
      </c>
    </row>
    <row r="522" spans="1:2" x14ac:dyDescent="0.4">
      <c r="A522" s="4"/>
      <c r="B522" s="4" t="s">
        <v>28</v>
      </c>
    </row>
    <row r="523" spans="1:2" x14ac:dyDescent="0.4">
      <c r="A523" s="4"/>
      <c r="B523" s="4" t="s">
        <v>28</v>
      </c>
    </row>
    <row r="524" spans="1:2" x14ac:dyDescent="0.4">
      <c r="A524" s="4"/>
      <c r="B524" s="4" t="s">
        <v>28</v>
      </c>
    </row>
    <row r="525" spans="1:2" x14ac:dyDescent="0.4">
      <c r="A525" s="4"/>
      <c r="B525" s="4" t="s">
        <v>28</v>
      </c>
    </row>
    <row r="526" spans="1:2" x14ac:dyDescent="0.4">
      <c r="A526" s="4"/>
      <c r="B526" s="4" t="s">
        <v>28</v>
      </c>
    </row>
    <row r="527" spans="1:2" x14ac:dyDescent="0.4">
      <c r="A527" s="4"/>
      <c r="B527" s="4" t="s">
        <v>28</v>
      </c>
    </row>
    <row r="528" spans="1:2" x14ac:dyDescent="0.4">
      <c r="A528" s="4"/>
      <c r="B528" s="4" t="s">
        <v>28</v>
      </c>
    </row>
    <row r="529" spans="1:2" x14ac:dyDescent="0.4">
      <c r="A529" s="4"/>
      <c r="B529" s="4" t="s">
        <v>28</v>
      </c>
    </row>
    <row r="530" spans="1:2" x14ac:dyDescent="0.4">
      <c r="A530" s="4"/>
      <c r="B530" s="4" t="s">
        <v>28</v>
      </c>
    </row>
    <row r="531" spans="1:2" x14ac:dyDescent="0.4">
      <c r="A531" s="4"/>
      <c r="B531" s="4" t="s">
        <v>28</v>
      </c>
    </row>
    <row r="532" spans="1:2" x14ac:dyDescent="0.4">
      <c r="A532" s="4"/>
      <c r="B532" s="4" t="s">
        <v>28</v>
      </c>
    </row>
    <row r="533" spans="1:2" x14ac:dyDescent="0.4">
      <c r="A533" s="4"/>
      <c r="B533" s="4" t="s">
        <v>28</v>
      </c>
    </row>
    <row r="534" spans="1:2" x14ac:dyDescent="0.4">
      <c r="A534" s="4"/>
      <c r="B534" s="4" t="s">
        <v>28</v>
      </c>
    </row>
    <row r="535" spans="1:2" x14ac:dyDescent="0.4">
      <c r="A535" s="4"/>
      <c r="B535" s="4" t="s">
        <v>28</v>
      </c>
    </row>
    <row r="536" spans="1:2" x14ac:dyDescent="0.4">
      <c r="A536" s="4"/>
      <c r="B536" s="4" t="s">
        <v>28</v>
      </c>
    </row>
    <row r="537" spans="1:2" x14ac:dyDescent="0.4">
      <c r="A537" s="4"/>
      <c r="B537" s="4" t="s">
        <v>28</v>
      </c>
    </row>
    <row r="538" spans="1:2" x14ac:dyDescent="0.4">
      <c r="A538" s="4"/>
      <c r="B538" s="4" t="s">
        <v>28</v>
      </c>
    </row>
    <row r="539" spans="1:2" x14ac:dyDescent="0.4">
      <c r="A539" s="4"/>
      <c r="B539" s="4" t="s">
        <v>28</v>
      </c>
    </row>
    <row r="540" spans="1:2" x14ac:dyDescent="0.4">
      <c r="A540" s="4"/>
      <c r="B540" s="4" t="s">
        <v>28</v>
      </c>
    </row>
    <row r="541" spans="1:2" x14ac:dyDescent="0.4">
      <c r="A541" s="4"/>
      <c r="B541" s="4" t="s">
        <v>28</v>
      </c>
    </row>
    <row r="542" spans="1:2" x14ac:dyDescent="0.4">
      <c r="A542" s="4"/>
      <c r="B542" s="4" t="s">
        <v>28</v>
      </c>
    </row>
    <row r="543" spans="1:2" x14ac:dyDescent="0.4">
      <c r="A543" s="4"/>
      <c r="B543" s="4" t="s">
        <v>28</v>
      </c>
    </row>
    <row r="544" spans="1:2" x14ac:dyDescent="0.4">
      <c r="A544" s="4"/>
      <c r="B544" s="4" t="s">
        <v>28</v>
      </c>
    </row>
    <row r="545" spans="1:2" x14ac:dyDescent="0.4">
      <c r="A545" s="4"/>
      <c r="B545" s="4" t="s">
        <v>28</v>
      </c>
    </row>
    <row r="546" spans="1:2" x14ac:dyDescent="0.4">
      <c r="A546" s="4"/>
      <c r="B546" s="4" t="s">
        <v>28</v>
      </c>
    </row>
    <row r="547" spans="1:2" x14ac:dyDescent="0.4">
      <c r="A547" s="4"/>
      <c r="B547" s="4" t="s">
        <v>28</v>
      </c>
    </row>
    <row r="548" spans="1:2" x14ac:dyDescent="0.4">
      <c r="A548" s="4"/>
      <c r="B548" s="4" t="s">
        <v>28</v>
      </c>
    </row>
    <row r="549" spans="1:2" x14ac:dyDescent="0.4">
      <c r="A549" s="4"/>
      <c r="B549" s="4" t="s">
        <v>28</v>
      </c>
    </row>
    <row r="550" spans="1:2" x14ac:dyDescent="0.4">
      <c r="A550" s="4"/>
      <c r="B550" s="4" t="s">
        <v>28</v>
      </c>
    </row>
    <row r="551" spans="1:2" x14ac:dyDescent="0.4">
      <c r="A551" s="4"/>
      <c r="B551" s="4" t="s">
        <v>28</v>
      </c>
    </row>
    <row r="552" spans="1:2" x14ac:dyDescent="0.4">
      <c r="A552" s="4"/>
      <c r="B552" s="4" t="s">
        <v>28</v>
      </c>
    </row>
    <row r="553" spans="1:2" x14ac:dyDescent="0.4">
      <c r="A553" s="4"/>
      <c r="B553" s="4" t="s">
        <v>28</v>
      </c>
    </row>
    <row r="554" spans="1:2" x14ac:dyDescent="0.4">
      <c r="A554" s="4"/>
      <c r="B554" s="4" t="s">
        <v>28</v>
      </c>
    </row>
    <row r="555" spans="1:2" x14ac:dyDescent="0.4">
      <c r="A555" s="4"/>
      <c r="B555" s="4" t="s">
        <v>28</v>
      </c>
    </row>
    <row r="556" spans="1:2" x14ac:dyDescent="0.4">
      <c r="A556" s="4"/>
      <c r="B556" s="4" t="s">
        <v>28</v>
      </c>
    </row>
    <row r="557" spans="1:2" x14ac:dyDescent="0.4">
      <c r="A557" s="4"/>
      <c r="B557" s="4" t="s">
        <v>28</v>
      </c>
    </row>
    <row r="558" spans="1:2" x14ac:dyDescent="0.4">
      <c r="A558" s="4"/>
      <c r="B558" s="4" t="s">
        <v>28</v>
      </c>
    </row>
    <row r="559" spans="1:2" x14ac:dyDescent="0.4">
      <c r="A559" s="4"/>
      <c r="B559" s="4" t="s">
        <v>28</v>
      </c>
    </row>
    <row r="560" spans="1:2" x14ac:dyDescent="0.4">
      <c r="A560" s="4"/>
      <c r="B560" s="4" t="s">
        <v>28</v>
      </c>
    </row>
    <row r="561" spans="1:2" x14ac:dyDescent="0.4">
      <c r="A561" s="4"/>
      <c r="B561" s="4" t="s">
        <v>28</v>
      </c>
    </row>
    <row r="562" spans="1:2" x14ac:dyDescent="0.4">
      <c r="A562" s="4"/>
      <c r="B562" s="4" t="s">
        <v>28</v>
      </c>
    </row>
    <row r="563" spans="1:2" x14ac:dyDescent="0.4">
      <c r="A563" s="4"/>
      <c r="B563" s="4" t="s">
        <v>28</v>
      </c>
    </row>
    <row r="564" spans="1:2" x14ac:dyDescent="0.4">
      <c r="A564" s="4"/>
      <c r="B564" s="4" t="s">
        <v>28</v>
      </c>
    </row>
    <row r="565" spans="1:2" x14ac:dyDescent="0.4">
      <c r="A565" s="4"/>
      <c r="B565" s="4" t="s">
        <v>28</v>
      </c>
    </row>
    <row r="566" spans="1:2" x14ac:dyDescent="0.4">
      <c r="A566" s="4"/>
      <c r="B566" s="4" t="s">
        <v>28</v>
      </c>
    </row>
    <row r="567" spans="1:2" x14ac:dyDescent="0.4">
      <c r="A567" s="4"/>
      <c r="B567" s="4" t="s">
        <v>28</v>
      </c>
    </row>
    <row r="568" spans="1:2" x14ac:dyDescent="0.4">
      <c r="A568" s="4"/>
      <c r="B568" s="4" t="s">
        <v>28</v>
      </c>
    </row>
    <row r="569" spans="1:2" x14ac:dyDescent="0.4">
      <c r="A569" s="4"/>
      <c r="B569" s="4" t="s">
        <v>28</v>
      </c>
    </row>
    <row r="570" spans="1:2" x14ac:dyDescent="0.4">
      <c r="A570" s="4"/>
      <c r="B570" s="4" t="s">
        <v>28</v>
      </c>
    </row>
    <row r="571" spans="1:2" x14ac:dyDescent="0.4">
      <c r="A571" s="4"/>
      <c r="B571" s="4" t="s">
        <v>28</v>
      </c>
    </row>
    <row r="572" spans="1:2" x14ac:dyDescent="0.4">
      <c r="A572" s="4"/>
      <c r="B572" s="4" t="s">
        <v>28</v>
      </c>
    </row>
    <row r="573" spans="1:2" x14ac:dyDescent="0.4">
      <c r="A573" s="4"/>
      <c r="B573" s="4" t="s">
        <v>28</v>
      </c>
    </row>
    <row r="574" spans="1:2" x14ac:dyDescent="0.4">
      <c r="A574" s="4"/>
      <c r="B574" s="4" t="s">
        <v>28</v>
      </c>
    </row>
    <row r="575" spans="1:2" x14ac:dyDescent="0.4">
      <c r="A575" s="4"/>
      <c r="B575" s="4" t="s">
        <v>28</v>
      </c>
    </row>
    <row r="576" spans="1:2" x14ac:dyDescent="0.4">
      <c r="A576" s="4"/>
      <c r="B576" s="4" t="s">
        <v>28</v>
      </c>
    </row>
    <row r="577" spans="1:2" x14ac:dyDescent="0.4">
      <c r="A577" s="4"/>
      <c r="B577" s="4" t="s">
        <v>28</v>
      </c>
    </row>
    <row r="578" spans="1:2" x14ac:dyDescent="0.4">
      <c r="A578" s="4"/>
      <c r="B578" s="4" t="s">
        <v>28</v>
      </c>
    </row>
    <row r="579" spans="1:2" x14ac:dyDescent="0.4">
      <c r="A579" s="4"/>
      <c r="B579" s="4" t="s">
        <v>28</v>
      </c>
    </row>
    <row r="580" spans="1:2" x14ac:dyDescent="0.4">
      <c r="A580" s="4"/>
      <c r="B580" s="4" t="s">
        <v>28</v>
      </c>
    </row>
    <row r="581" spans="1:2" x14ac:dyDescent="0.4">
      <c r="A581" s="4"/>
      <c r="B581" s="4" t="s">
        <v>28</v>
      </c>
    </row>
    <row r="582" spans="1:2" x14ac:dyDescent="0.4">
      <c r="A582" s="4"/>
      <c r="B582" s="4" t="s">
        <v>28</v>
      </c>
    </row>
    <row r="583" spans="1:2" x14ac:dyDescent="0.4">
      <c r="A583" s="4"/>
      <c r="B583" s="4" t="s">
        <v>28</v>
      </c>
    </row>
    <row r="584" spans="1:2" x14ac:dyDescent="0.4">
      <c r="A584" s="4"/>
      <c r="B584" s="4" t="s">
        <v>28</v>
      </c>
    </row>
    <row r="585" spans="1:2" x14ac:dyDescent="0.4">
      <c r="A585" s="4"/>
      <c r="B585" s="4" t="s">
        <v>28</v>
      </c>
    </row>
    <row r="586" spans="1:2" x14ac:dyDescent="0.4">
      <c r="A586" s="4"/>
      <c r="B586" s="4" t="s">
        <v>28</v>
      </c>
    </row>
    <row r="587" spans="1:2" x14ac:dyDescent="0.4">
      <c r="A587" s="4"/>
      <c r="B587" s="4" t="s">
        <v>28</v>
      </c>
    </row>
    <row r="588" spans="1:2" x14ac:dyDescent="0.4">
      <c r="A588" s="4"/>
      <c r="B588" s="4" t="s">
        <v>28</v>
      </c>
    </row>
    <row r="589" spans="1:2" x14ac:dyDescent="0.4">
      <c r="A589" s="4"/>
      <c r="B589" s="4" t="s">
        <v>28</v>
      </c>
    </row>
    <row r="590" spans="1:2" x14ac:dyDescent="0.4">
      <c r="A590" s="4"/>
      <c r="B590" s="4" t="s">
        <v>28</v>
      </c>
    </row>
    <row r="591" spans="1:2" x14ac:dyDescent="0.4">
      <c r="A591" s="4"/>
      <c r="B591" s="4" t="s">
        <v>28</v>
      </c>
    </row>
    <row r="592" spans="1:2" x14ac:dyDescent="0.4">
      <c r="A592" s="4"/>
      <c r="B592" s="4" t="s">
        <v>28</v>
      </c>
    </row>
    <row r="593" spans="1:2" x14ac:dyDescent="0.4">
      <c r="A593" s="4"/>
      <c r="B593" s="4" t="s">
        <v>28</v>
      </c>
    </row>
    <row r="594" spans="1:2" x14ac:dyDescent="0.4">
      <c r="A594" s="4"/>
      <c r="B594" s="4" t="s">
        <v>28</v>
      </c>
    </row>
    <row r="595" spans="1:2" x14ac:dyDescent="0.4">
      <c r="A595" s="4"/>
      <c r="B595" s="4" t="s">
        <v>28</v>
      </c>
    </row>
    <row r="596" spans="1:2" x14ac:dyDescent="0.4">
      <c r="A596" s="4"/>
      <c r="B596" s="4" t="s">
        <v>28</v>
      </c>
    </row>
    <row r="597" spans="1:2" x14ac:dyDescent="0.4">
      <c r="A597" s="4"/>
      <c r="B597" s="4" t="s">
        <v>28</v>
      </c>
    </row>
    <row r="598" spans="1:2" x14ac:dyDescent="0.4">
      <c r="A598" s="4"/>
      <c r="B598" s="4" t="s">
        <v>28</v>
      </c>
    </row>
    <row r="599" spans="1:2" x14ac:dyDescent="0.4">
      <c r="A599" s="4"/>
      <c r="B599" s="4" t="s">
        <v>28</v>
      </c>
    </row>
    <row r="600" spans="1:2" x14ac:dyDescent="0.4">
      <c r="A600" s="4"/>
      <c r="B600" s="4" t="s">
        <v>28</v>
      </c>
    </row>
    <row r="601" spans="1:2" x14ac:dyDescent="0.4">
      <c r="A601" s="4"/>
      <c r="B601" s="4" t="s">
        <v>28</v>
      </c>
    </row>
    <row r="602" spans="1:2" x14ac:dyDescent="0.4">
      <c r="A602" s="4"/>
      <c r="B602" s="4" t="s">
        <v>28</v>
      </c>
    </row>
    <row r="603" spans="1:2" x14ac:dyDescent="0.4">
      <c r="A603" s="4"/>
      <c r="B603" s="4" t="s">
        <v>28</v>
      </c>
    </row>
    <row r="604" spans="1:2" x14ac:dyDescent="0.4">
      <c r="A604" s="4"/>
      <c r="B604" s="4" t="s">
        <v>28</v>
      </c>
    </row>
    <row r="605" spans="1:2" x14ac:dyDescent="0.4">
      <c r="A605" s="4"/>
      <c r="B605" s="4" t="s">
        <v>28</v>
      </c>
    </row>
    <row r="606" spans="1:2" x14ac:dyDescent="0.4">
      <c r="A606" s="4"/>
      <c r="B606" s="4" t="s">
        <v>28</v>
      </c>
    </row>
    <row r="607" spans="1:2" x14ac:dyDescent="0.4">
      <c r="A607" s="4"/>
      <c r="B607" s="4" t="s">
        <v>28</v>
      </c>
    </row>
    <row r="608" spans="1:2" x14ac:dyDescent="0.4">
      <c r="A608" s="4"/>
      <c r="B608" s="4" t="s">
        <v>28</v>
      </c>
    </row>
    <row r="609" spans="1:2" x14ac:dyDescent="0.4">
      <c r="A609" s="4"/>
      <c r="B609" s="4" t="s">
        <v>28</v>
      </c>
    </row>
    <row r="610" spans="1:2" x14ac:dyDescent="0.4">
      <c r="A610" s="4"/>
      <c r="B610" s="4" t="s">
        <v>28</v>
      </c>
    </row>
    <row r="611" spans="1:2" x14ac:dyDescent="0.4">
      <c r="A611" s="4"/>
      <c r="B611" s="4" t="s">
        <v>28</v>
      </c>
    </row>
    <row r="612" spans="1:2" x14ac:dyDescent="0.4">
      <c r="A612" s="4"/>
      <c r="B612" s="4" t="s">
        <v>28</v>
      </c>
    </row>
    <row r="613" spans="1:2" x14ac:dyDescent="0.4">
      <c r="A613" s="4"/>
      <c r="B613" s="4" t="s">
        <v>28</v>
      </c>
    </row>
    <row r="614" spans="1:2" x14ac:dyDescent="0.4">
      <c r="A614" s="4"/>
      <c r="B614" s="4" t="s">
        <v>28</v>
      </c>
    </row>
    <row r="615" spans="1:2" x14ac:dyDescent="0.4">
      <c r="A615" s="4"/>
      <c r="B615" s="4" t="s">
        <v>28</v>
      </c>
    </row>
    <row r="616" spans="1:2" x14ac:dyDescent="0.4">
      <c r="A616" s="4"/>
      <c r="B616" s="4" t="s">
        <v>28</v>
      </c>
    </row>
    <row r="617" spans="1:2" x14ac:dyDescent="0.4">
      <c r="A617" s="4"/>
      <c r="B617" s="4" t="s">
        <v>28</v>
      </c>
    </row>
    <row r="618" spans="1:2" x14ac:dyDescent="0.4">
      <c r="A618" s="4"/>
      <c r="B618" s="4" t="s">
        <v>28</v>
      </c>
    </row>
    <row r="619" spans="1:2" x14ac:dyDescent="0.4">
      <c r="A619" s="4"/>
      <c r="B619" s="4" t="s">
        <v>28</v>
      </c>
    </row>
    <row r="620" spans="1:2" x14ac:dyDescent="0.4">
      <c r="A620" s="4"/>
      <c r="B620" s="4" t="s">
        <v>28</v>
      </c>
    </row>
    <row r="621" spans="1:2" x14ac:dyDescent="0.4">
      <c r="A621" s="4"/>
      <c r="B621" s="4" t="s">
        <v>28</v>
      </c>
    </row>
    <row r="622" spans="1:2" x14ac:dyDescent="0.4">
      <c r="A622" s="4"/>
      <c r="B622" s="4" t="s">
        <v>28</v>
      </c>
    </row>
    <row r="623" spans="1:2" x14ac:dyDescent="0.4">
      <c r="A623" s="4"/>
      <c r="B623" s="4" t="s">
        <v>28</v>
      </c>
    </row>
    <row r="624" spans="1:2" x14ac:dyDescent="0.4">
      <c r="A624" s="4"/>
      <c r="B624" s="4" t="s">
        <v>28</v>
      </c>
    </row>
    <row r="625" spans="1:2" x14ac:dyDescent="0.4">
      <c r="A625" s="4"/>
      <c r="B625" s="4" t="s">
        <v>28</v>
      </c>
    </row>
    <row r="626" spans="1:2" x14ac:dyDescent="0.4">
      <c r="A626" s="4"/>
      <c r="B626" s="4" t="s">
        <v>28</v>
      </c>
    </row>
    <row r="627" spans="1:2" x14ac:dyDescent="0.4">
      <c r="A627" s="4"/>
      <c r="B627" s="4" t="s">
        <v>28</v>
      </c>
    </row>
    <row r="628" spans="1:2" x14ac:dyDescent="0.4">
      <c r="A628" s="4"/>
      <c r="B628" s="4" t="s">
        <v>28</v>
      </c>
    </row>
    <row r="629" spans="1:2" x14ac:dyDescent="0.4">
      <c r="A629" s="4"/>
      <c r="B629" s="4" t="s">
        <v>28</v>
      </c>
    </row>
    <row r="630" spans="1:2" x14ac:dyDescent="0.4">
      <c r="A630" s="4"/>
      <c r="B630" s="4" t="s">
        <v>28</v>
      </c>
    </row>
    <row r="631" spans="1:2" x14ac:dyDescent="0.4">
      <c r="A631" s="4"/>
      <c r="B631" s="4" t="s">
        <v>28</v>
      </c>
    </row>
    <row r="632" spans="1:2" x14ac:dyDescent="0.4">
      <c r="A632" s="4"/>
      <c r="B632" s="4" t="s">
        <v>28</v>
      </c>
    </row>
    <row r="633" spans="1:2" x14ac:dyDescent="0.4">
      <c r="A633" s="4"/>
      <c r="B633" s="4" t="s">
        <v>28</v>
      </c>
    </row>
    <row r="634" spans="1:2" x14ac:dyDescent="0.4">
      <c r="A634" s="4"/>
      <c r="B634" s="4" t="s">
        <v>28</v>
      </c>
    </row>
    <row r="635" spans="1:2" x14ac:dyDescent="0.4">
      <c r="A635" s="4"/>
      <c r="B635" s="4" t="s">
        <v>28</v>
      </c>
    </row>
    <row r="636" spans="1:2" x14ac:dyDescent="0.4">
      <c r="A636" s="4"/>
      <c r="B636" s="4" t="s">
        <v>28</v>
      </c>
    </row>
    <row r="637" spans="1:2" x14ac:dyDescent="0.4">
      <c r="A637" s="4"/>
      <c r="B637" s="4" t="s">
        <v>28</v>
      </c>
    </row>
    <row r="638" spans="1:2" x14ac:dyDescent="0.4">
      <c r="A638" s="11"/>
      <c r="B638" s="4" t="s">
        <v>28</v>
      </c>
    </row>
    <row r="639" spans="1:2" x14ac:dyDescent="0.4">
      <c r="A639" s="4"/>
      <c r="B639" s="4" t="s">
        <v>28</v>
      </c>
    </row>
    <row r="640" spans="1:2" x14ac:dyDescent="0.4">
      <c r="A640" s="4"/>
      <c r="B640" s="4" t="s">
        <v>28</v>
      </c>
    </row>
    <row r="641" spans="1:2" x14ac:dyDescent="0.4">
      <c r="A641" s="4"/>
      <c r="B641" s="4" t="s">
        <v>28</v>
      </c>
    </row>
    <row r="642" spans="1:2" x14ac:dyDescent="0.4">
      <c r="A642" s="4"/>
      <c r="B642" s="4" t="s">
        <v>28</v>
      </c>
    </row>
    <row r="643" spans="1:2" x14ac:dyDescent="0.4">
      <c r="A643" s="4"/>
      <c r="B643" s="4" t="s">
        <v>28</v>
      </c>
    </row>
    <row r="644" spans="1:2" x14ac:dyDescent="0.4">
      <c r="A644" s="4"/>
      <c r="B644" s="4" t="s">
        <v>28</v>
      </c>
    </row>
    <row r="645" spans="1:2" x14ac:dyDescent="0.4">
      <c r="A645" s="4"/>
      <c r="B645" s="4" t="s">
        <v>28</v>
      </c>
    </row>
    <row r="646" spans="1:2" x14ac:dyDescent="0.4">
      <c r="A646" s="4"/>
      <c r="B646" s="4" t="s">
        <v>28</v>
      </c>
    </row>
    <row r="647" spans="1:2" x14ac:dyDescent="0.4">
      <c r="A647" s="4"/>
      <c r="B647" s="4" t="s">
        <v>28</v>
      </c>
    </row>
    <row r="648" spans="1:2" x14ac:dyDescent="0.4">
      <c r="A648" s="4"/>
      <c r="B648" s="4" t="s">
        <v>28</v>
      </c>
    </row>
    <row r="649" spans="1:2" x14ac:dyDescent="0.4">
      <c r="A649" s="4"/>
      <c r="B649" s="4" t="s">
        <v>28</v>
      </c>
    </row>
    <row r="650" spans="1:2" x14ac:dyDescent="0.4">
      <c r="A650" s="4"/>
      <c r="B650" s="4" t="s">
        <v>28</v>
      </c>
    </row>
    <row r="651" spans="1:2" x14ac:dyDescent="0.4">
      <c r="A651" s="4"/>
      <c r="B651" s="4" t="s">
        <v>28</v>
      </c>
    </row>
    <row r="652" spans="1:2" x14ac:dyDescent="0.4">
      <c r="A652" s="4"/>
      <c r="B652" s="4" t="s">
        <v>28</v>
      </c>
    </row>
    <row r="653" spans="1:2" x14ac:dyDescent="0.4">
      <c r="A653" s="4"/>
      <c r="B653" s="4" t="s">
        <v>28</v>
      </c>
    </row>
    <row r="654" spans="1:2" x14ac:dyDescent="0.4">
      <c r="A654" s="4"/>
      <c r="B654" s="4" t="s">
        <v>28</v>
      </c>
    </row>
    <row r="655" spans="1:2" x14ac:dyDescent="0.4">
      <c r="A655" s="4"/>
      <c r="B655" s="4" t="s">
        <v>28</v>
      </c>
    </row>
    <row r="656" spans="1:2" x14ac:dyDescent="0.4">
      <c r="A656" s="4"/>
      <c r="B656" s="4" t="s">
        <v>28</v>
      </c>
    </row>
    <row r="657" spans="1:2" x14ac:dyDescent="0.4">
      <c r="A657" s="4"/>
      <c r="B657" s="4" t="s">
        <v>28</v>
      </c>
    </row>
    <row r="658" spans="1:2" x14ac:dyDescent="0.4">
      <c r="A658" s="4"/>
      <c r="B658" s="4" t="s">
        <v>28</v>
      </c>
    </row>
    <row r="659" spans="1:2" x14ac:dyDescent="0.4">
      <c r="A659" s="4"/>
      <c r="B659" s="4" t="s">
        <v>28</v>
      </c>
    </row>
    <row r="660" spans="1:2" x14ac:dyDescent="0.4">
      <c r="A660" s="4"/>
      <c r="B660" s="4" t="s">
        <v>28</v>
      </c>
    </row>
    <row r="661" spans="1:2" x14ac:dyDescent="0.4">
      <c r="A661" s="4"/>
      <c r="B661" s="4" t="s">
        <v>28</v>
      </c>
    </row>
    <row r="662" spans="1:2" x14ac:dyDescent="0.4">
      <c r="A662" s="4"/>
      <c r="B662" s="4" t="s">
        <v>28</v>
      </c>
    </row>
    <row r="663" spans="1:2" x14ac:dyDescent="0.4">
      <c r="A663" s="4"/>
      <c r="B663" s="4" t="s">
        <v>28</v>
      </c>
    </row>
    <row r="664" spans="1:2" x14ac:dyDescent="0.4">
      <c r="A664" s="4"/>
      <c r="B664" s="4" t="s">
        <v>28</v>
      </c>
    </row>
    <row r="665" spans="1:2" x14ac:dyDescent="0.4">
      <c r="A665" s="4"/>
      <c r="B665" s="4" t="s">
        <v>28</v>
      </c>
    </row>
    <row r="666" spans="1:2" x14ac:dyDescent="0.4">
      <c r="A666" s="4"/>
      <c r="B666" s="4" t="s">
        <v>28</v>
      </c>
    </row>
    <row r="667" spans="1:2" x14ac:dyDescent="0.4">
      <c r="A667" s="4"/>
      <c r="B667" s="4" t="s">
        <v>28</v>
      </c>
    </row>
    <row r="668" spans="1:2" x14ac:dyDescent="0.4">
      <c r="A668" s="4"/>
      <c r="B668" s="4" t="s">
        <v>28</v>
      </c>
    </row>
    <row r="669" spans="1:2" x14ac:dyDescent="0.4">
      <c r="A669" s="4"/>
      <c r="B669" s="4" t="s">
        <v>28</v>
      </c>
    </row>
    <row r="670" spans="1:2" x14ac:dyDescent="0.4">
      <c r="A670" s="4"/>
      <c r="B670" s="4" t="s">
        <v>28</v>
      </c>
    </row>
    <row r="671" spans="1:2" x14ac:dyDescent="0.4">
      <c r="A671" s="4"/>
      <c r="B671" s="4" t="s">
        <v>28</v>
      </c>
    </row>
    <row r="672" spans="1:2" x14ac:dyDescent="0.4">
      <c r="A672" s="4"/>
      <c r="B672" s="4" t="s">
        <v>28</v>
      </c>
    </row>
    <row r="673" spans="1:2" x14ac:dyDescent="0.4">
      <c r="A673" s="4"/>
      <c r="B673" s="4" t="s">
        <v>28</v>
      </c>
    </row>
    <row r="674" spans="1:2" x14ac:dyDescent="0.4">
      <c r="A674" s="4"/>
      <c r="B674" s="4" t="s">
        <v>28</v>
      </c>
    </row>
    <row r="675" spans="1:2" x14ac:dyDescent="0.4">
      <c r="A675" s="4"/>
      <c r="B675" s="4" t="s">
        <v>28</v>
      </c>
    </row>
    <row r="676" spans="1:2" x14ac:dyDescent="0.4">
      <c r="A676" s="4"/>
      <c r="B676" s="4" t="s">
        <v>28</v>
      </c>
    </row>
    <row r="677" spans="1:2" x14ac:dyDescent="0.4">
      <c r="A677" s="4"/>
      <c r="B677" s="4" t="s">
        <v>28</v>
      </c>
    </row>
    <row r="678" spans="1:2" x14ac:dyDescent="0.4">
      <c r="A678" s="4"/>
      <c r="B678" s="4" t="s">
        <v>28</v>
      </c>
    </row>
    <row r="679" spans="1:2" x14ac:dyDescent="0.4">
      <c r="A679" s="4"/>
      <c r="B679" s="4" t="s">
        <v>28</v>
      </c>
    </row>
    <row r="680" spans="1:2" x14ac:dyDescent="0.4">
      <c r="A680" s="4"/>
      <c r="B680" s="4" t="s">
        <v>28</v>
      </c>
    </row>
    <row r="681" spans="1:2" x14ac:dyDescent="0.4">
      <c r="A681" s="4"/>
      <c r="B681" s="4" t="s">
        <v>28</v>
      </c>
    </row>
    <row r="682" spans="1:2" x14ac:dyDescent="0.4">
      <c r="A682" s="4"/>
      <c r="B682" s="4" t="s">
        <v>28</v>
      </c>
    </row>
    <row r="683" spans="1:2" x14ac:dyDescent="0.4">
      <c r="A683" s="4"/>
      <c r="B683" s="4" t="s">
        <v>28</v>
      </c>
    </row>
    <row r="684" spans="1:2" x14ac:dyDescent="0.4">
      <c r="A684" s="4"/>
      <c r="B684" s="4" t="s">
        <v>28</v>
      </c>
    </row>
    <row r="685" spans="1:2" x14ac:dyDescent="0.4">
      <c r="A685" s="4"/>
      <c r="B685" s="4" t="s">
        <v>28</v>
      </c>
    </row>
    <row r="686" spans="1:2" x14ac:dyDescent="0.4">
      <c r="A686" s="4"/>
      <c r="B686" s="4" t="s">
        <v>28</v>
      </c>
    </row>
    <row r="687" spans="1:2" x14ac:dyDescent="0.4">
      <c r="A687" s="4"/>
      <c r="B687" s="4" t="s">
        <v>28</v>
      </c>
    </row>
    <row r="688" spans="1:2" x14ac:dyDescent="0.4">
      <c r="A688" s="4"/>
      <c r="B688" s="4" t="s">
        <v>28</v>
      </c>
    </row>
    <row r="689" spans="1:2" x14ac:dyDescent="0.4">
      <c r="A689" s="4"/>
      <c r="B689" s="4" t="s">
        <v>28</v>
      </c>
    </row>
    <row r="690" spans="1:2" x14ac:dyDescent="0.4">
      <c r="A690" s="4"/>
      <c r="B690" s="4" t="s">
        <v>28</v>
      </c>
    </row>
    <row r="691" spans="1:2" x14ac:dyDescent="0.4">
      <c r="A691" s="4"/>
      <c r="B691" s="4" t="s">
        <v>28</v>
      </c>
    </row>
    <row r="692" spans="1:2" x14ac:dyDescent="0.4">
      <c r="A692" s="4"/>
      <c r="B692" s="4" t="s">
        <v>28</v>
      </c>
    </row>
    <row r="693" spans="1:2" x14ac:dyDescent="0.4">
      <c r="A693" s="4"/>
      <c r="B693" s="4" t="s">
        <v>28</v>
      </c>
    </row>
    <row r="694" spans="1:2" x14ac:dyDescent="0.4">
      <c r="A694" s="4"/>
      <c r="B694" s="4" t="s">
        <v>28</v>
      </c>
    </row>
    <row r="695" spans="1:2" x14ac:dyDescent="0.4">
      <c r="A695" s="4"/>
      <c r="B695" s="4" t="s">
        <v>28</v>
      </c>
    </row>
    <row r="696" spans="1:2" x14ac:dyDescent="0.4">
      <c r="A696" s="4"/>
      <c r="B696" s="4" t="s">
        <v>28</v>
      </c>
    </row>
    <row r="697" spans="1:2" x14ac:dyDescent="0.4">
      <c r="A697" s="4"/>
      <c r="B697" s="4" t="s">
        <v>28</v>
      </c>
    </row>
    <row r="698" spans="1:2" x14ac:dyDescent="0.4">
      <c r="A698" s="4"/>
      <c r="B698" s="4" t="s">
        <v>28</v>
      </c>
    </row>
    <row r="699" spans="1:2" x14ac:dyDescent="0.4">
      <c r="A699" s="4"/>
      <c r="B699" s="4" t="s">
        <v>28</v>
      </c>
    </row>
    <row r="700" spans="1:2" x14ac:dyDescent="0.4">
      <c r="A700" s="4"/>
      <c r="B700" s="4" t="s">
        <v>28</v>
      </c>
    </row>
    <row r="701" spans="1:2" x14ac:dyDescent="0.4">
      <c r="A701" s="4"/>
      <c r="B701" s="4" t="s">
        <v>28</v>
      </c>
    </row>
    <row r="702" spans="1:2" x14ac:dyDescent="0.4">
      <c r="A702" s="4"/>
      <c r="B702" s="4" t="s">
        <v>28</v>
      </c>
    </row>
    <row r="703" spans="1:2" x14ac:dyDescent="0.4">
      <c r="A703" s="4"/>
      <c r="B703" s="4" t="s">
        <v>28</v>
      </c>
    </row>
    <row r="704" spans="1:2" x14ac:dyDescent="0.4">
      <c r="A704" s="4"/>
      <c r="B704" s="4" t="s">
        <v>28</v>
      </c>
    </row>
    <row r="705" spans="1:2" x14ac:dyDescent="0.4">
      <c r="A705" s="4"/>
      <c r="B705" s="4" t="s">
        <v>28</v>
      </c>
    </row>
    <row r="706" spans="1:2" x14ac:dyDescent="0.4">
      <c r="A706" s="4"/>
      <c r="B706" s="4" t="s">
        <v>28</v>
      </c>
    </row>
    <row r="707" spans="1:2" x14ac:dyDescent="0.4">
      <c r="A707" s="4"/>
      <c r="B707" s="4" t="s">
        <v>28</v>
      </c>
    </row>
    <row r="708" spans="1:2" x14ac:dyDescent="0.4">
      <c r="A708" s="4"/>
      <c r="B708" s="4" t="s">
        <v>28</v>
      </c>
    </row>
    <row r="709" spans="1:2" x14ac:dyDescent="0.4">
      <c r="A709" s="4"/>
      <c r="B709" s="4" t="s">
        <v>28</v>
      </c>
    </row>
    <row r="710" spans="1:2" x14ac:dyDescent="0.4">
      <c r="A710" s="4"/>
      <c r="B710" s="4" t="s">
        <v>28</v>
      </c>
    </row>
    <row r="711" spans="1:2" x14ac:dyDescent="0.4">
      <c r="A711" s="4"/>
      <c r="B711" s="4" t="s">
        <v>28</v>
      </c>
    </row>
    <row r="712" spans="1:2" x14ac:dyDescent="0.4">
      <c r="A712" s="4"/>
      <c r="B712" s="4" t="s">
        <v>28</v>
      </c>
    </row>
    <row r="713" spans="1:2" x14ac:dyDescent="0.4">
      <c r="A713" s="4"/>
      <c r="B713" s="4" t="s">
        <v>28</v>
      </c>
    </row>
    <row r="714" spans="1:2" x14ac:dyDescent="0.4">
      <c r="A714" s="4"/>
      <c r="B714" s="4" t="s">
        <v>28</v>
      </c>
    </row>
    <row r="715" spans="1:2" x14ac:dyDescent="0.4">
      <c r="A715" s="4"/>
      <c r="B715" s="4" t="s">
        <v>28</v>
      </c>
    </row>
    <row r="716" spans="1:2" x14ac:dyDescent="0.4">
      <c r="A716" s="4"/>
      <c r="B716" s="4" t="s">
        <v>28</v>
      </c>
    </row>
    <row r="717" spans="1:2" x14ac:dyDescent="0.4">
      <c r="A717" s="4"/>
      <c r="B717" s="4" t="s">
        <v>28</v>
      </c>
    </row>
    <row r="718" spans="1:2" x14ac:dyDescent="0.4">
      <c r="A718" s="4"/>
      <c r="B718" s="4" t="s">
        <v>28</v>
      </c>
    </row>
    <row r="719" spans="1:2" x14ac:dyDescent="0.4">
      <c r="A719" s="4"/>
      <c r="B719" s="4" t="s">
        <v>28</v>
      </c>
    </row>
    <row r="720" spans="1:2" x14ac:dyDescent="0.4">
      <c r="A720" s="4"/>
      <c r="B720" s="4" t="s">
        <v>28</v>
      </c>
    </row>
    <row r="721" spans="1:2" x14ac:dyDescent="0.4">
      <c r="A721" s="4"/>
      <c r="B721" s="4" t="s">
        <v>28</v>
      </c>
    </row>
    <row r="722" spans="1:2" x14ac:dyDescent="0.4">
      <c r="A722" s="4"/>
      <c r="B722" s="4" t="s">
        <v>28</v>
      </c>
    </row>
    <row r="723" spans="1:2" x14ac:dyDescent="0.4">
      <c r="A723" s="4"/>
      <c r="B723" s="4" t="s">
        <v>28</v>
      </c>
    </row>
    <row r="724" spans="1:2" x14ac:dyDescent="0.4">
      <c r="A724" s="4"/>
      <c r="B724" s="4" t="s">
        <v>28</v>
      </c>
    </row>
    <row r="725" spans="1:2" x14ac:dyDescent="0.4">
      <c r="A725" s="4"/>
      <c r="B725" s="4" t="s">
        <v>28</v>
      </c>
    </row>
    <row r="726" spans="1:2" x14ac:dyDescent="0.4">
      <c r="A726" s="4"/>
      <c r="B726" s="4" t="s">
        <v>28</v>
      </c>
    </row>
    <row r="727" spans="1:2" x14ac:dyDescent="0.4">
      <c r="A727" s="4"/>
      <c r="B727" s="4" t="s">
        <v>28</v>
      </c>
    </row>
    <row r="728" spans="1:2" x14ac:dyDescent="0.4">
      <c r="A728" s="4"/>
      <c r="B728" s="4" t="s">
        <v>28</v>
      </c>
    </row>
    <row r="729" spans="1:2" x14ac:dyDescent="0.4">
      <c r="A729" s="4"/>
      <c r="B729" s="4" t="s">
        <v>28</v>
      </c>
    </row>
    <row r="730" spans="1:2" x14ac:dyDescent="0.4">
      <c r="A730" s="4"/>
      <c r="B730" s="4" t="s">
        <v>28</v>
      </c>
    </row>
    <row r="731" spans="1:2" x14ac:dyDescent="0.4">
      <c r="A731" s="4"/>
      <c r="B731" s="4" t="s">
        <v>28</v>
      </c>
    </row>
    <row r="732" spans="1:2" x14ac:dyDescent="0.4">
      <c r="A732" s="4"/>
      <c r="B732" s="4" t="s">
        <v>28</v>
      </c>
    </row>
    <row r="733" spans="1:2" x14ac:dyDescent="0.4">
      <c r="A733" s="4"/>
      <c r="B733" s="4" t="s">
        <v>28</v>
      </c>
    </row>
    <row r="734" spans="1:2" x14ac:dyDescent="0.4">
      <c r="A734" s="4"/>
      <c r="B734" s="4" t="s">
        <v>28</v>
      </c>
    </row>
    <row r="735" spans="1:2" x14ac:dyDescent="0.4">
      <c r="A735" s="4"/>
      <c r="B735" s="4" t="s">
        <v>28</v>
      </c>
    </row>
    <row r="736" spans="1:2" x14ac:dyDescent="0.4">
      <c r="A736" s="4"/>
      <c r="B736" s="4" t="s">
        <v>28</v>
      </c>
    </row>
    <row r="737" spans="1:2" x14ac:dyDescent="0.4">
      <c r="A737" s="4"/>
      <c r="B737" s="4" t="s">
        <v>28</v>
      </c>
    </row>
    <row r="738" spans="1:2" x14ac:dyDescent="0.4">
      <c r="A738" s="4"/>
      <c r="B738" s="4" t="s">
        <v>28</v>
      </c>
    </row>
    <row r="739" spans="1:2" x14ac:dyDescent="0.4">
      <c r="A739" s="4"/>
      <c r="B739" s="4" t="s">
        <v>28</v>
      </c>
    </row>
    <row r="740" spans="1:2" x14ac:dyDescent="0.4">
      <c r="A740" s="4"/>
      <c r="B740" s="4" t="s">
        <v>28</v>
      </c>
    </row>
    <row r="741" spans="1:2" x14ac:dyDescent="0.4">
      <c r="A741" s="4"/>
      <c r="B741" s="4" t="s">
        <v>28</v>
      </c>
    </row>
    <row r="742" spans="1:2" x14ac:dyDescent="0.4">
      <c r="A742" s="4"/>
      <c r="B742" s="4" t="s">
        <v>28</v>
      </c>
    </row>
    <row r="743" spans="1:2" x14ac:dyDescent="0.4">
      <c r="A743" s="4"/>
      <c r="B743" s="4" t="s">
        <v>28</v>
      </c>
    </row>
    <row r="744" spans="1:2" x14ac:dyDescent="0.4">
      <c r="A744" s="4"/>
      <c r="B744" s="4" t="s">
        <v>28</v>
      </c>
    </row>
    <row r="745" spans="1:2" x14ac:dyDescent="0.4">
      <c r="A745" s="4"/>
      <c r="B745" s="4" t="s">
        <v>28</v>
      </c>
    </row>
    <row r="746" spans="1:2" x14ac:dyDescent="0.4">
      <c r="A746" s="4"/>
      <c r="B746" s="4" t="s">
        <v>28</v>
      </c>
    </row>
    <row r="747" spans="1:2" x14ac:dyDescent="0.4">
      <c r="A747" s="4"/>
      <c r="B747" s="4" t="s">
        <v>28</v>
      </c>
    </row>
    <row r="748" spans="1:2" x14ac:dyDescent="0.4">
      <c r="A748" s="4"/>
      <c r="B748" s="4" t="s">
        <v>28</v>
      </c>
    </row>
    <row r="749" spans="1:2" x14ac:dyDescent="0.4">
      <c r="A749" s="4"/>
      <c r="B749" s="4" t="s">
        <v>28</v>
      </c>
    </row>
    <row r="750" spans="1:2" x14ac:dyDescent="0.4">
      <c r="A750" s="4"/>
      <c r="B750" s="4" t="s">
        <v>28</v>
      </c>
    </row>
    <row r="751" spans="1:2" x14ac:dyDescent="0.4">
      <c r="A751" s="4"/>
      <c r="B751" s="4" t="s">
        <v>28</v>
      </c>
    </row>
    <row r="752" spans="1:2" x14ac:dyDescent="0.4">
      <c r="A752" s="4"/>
      <c r="B752" s="4" t="s">
        <v>28</v>
      </c>
    </row>
    <row r="753" spans="1:2" x14ac:dyDescent="0.4">
      <c r="A753" s="4"/>
      <c r="B753" s="4" t="s">
        <v>28</v>
      </c>
    </row>
    <row r="754" spans="1:2" x14ac:dyDescent="0.4">
      <c r="A754" s="4"/>
      <c r="B754" s="4" t="s">
        <v>28</v>
      </c>
    </row>
    <row r="755" spans="1:2" x14ac:dyDescent="0.4">
      <c r="A755" s="4"/>
      <c r="B755" s="4" t="s">
        <v>28</v>
      </c>
    </row>
    <row r="756" spans="1:2" x14ac:dyDescent="0.4">
      <c r="A756" s="4"/>
      <c r="B756" s="4" t="s">
        <v>28</v>
      </c>
    </row>
    <row r="757" spans="1:2" x14ac:dyDescent="0.4">
      <c r="A757" s="4"/>
      <c r="B757" s="4" t="s">
        <v>28</v>
      </c>
    </row>
    <row r="758" spans="1:2" x14ac:dyDescent="0.4">
      <c r="A758" s="4"/>
      <c r="B758" s="4" t="s">
        <v>28</v>
      </c>
    </row>
    <row r="759" spans="1:2" x14ac:dyDescent="0.4">
      <c r="A759" s="4"/>
      <c r="B759" s="4" t="s">
        <v>28</v>
      </c>
    </row>
    <row r="760" spans="1:2" x14ac:dyDescent="0.4">
      <c r="A760" s="4"/>
      <c r="B760" s="4" t="s">
        <v>28</v>
      </c>
    </row>
    <row r="761" spans="1:2" x14ac:dyDescent="0.4">
      <c r="A761" s="4"/>
      <c r="B761" s="4" t="s">
        <v>28</v>
      </c>
    </row>
    <row r="762" spans="1:2" x14ac:dyDescent="0.4">
      <c r="A762" s="4"/>
      <c r="B762" s="4" t="s">
        <v>28</v>
      </c>
    </row>
    <row r="763" spans="1:2" x14ac:dyDescent="0.4">
      <c r="A763" s="4"/>
      <c r="B763" s="4" t="s">
        <v>28</v>
      </c>
    </row>
    <row r="764" spans="1:2" x14ac:dyDescent="0.4">
      <c r="A764" s="4"/>
      <c r="B764" s="4" t="s">
        <v>28</v>
      </c>
    </row>
    <row r="765" spans="1:2" x14ac:dyDescent="0.4">
      <c r="A765" s="4"/>
      <c r="B765" s="4" t="s">
        <v>28</v>
      </c>
    </row>
    <row r="766" spans="1:2" x14ac:dyDescent="0.4">
      <c r="A766" s="4"/>
      <c r="B766" s="4" t="s">
        <v>28</v>
      </c>
    </row>
    <row r="767" spans="1:2" x14ac:dyDescent="0.4">
      <c r="A767" s="4"/>
      <c r="B767" s="4" t="s">
        <v>28</v>
      </c>
    </row>
    <row r="768" spans="1:2" x14ac:dyDescent="0.4">
      <c r="A768" s="4"/>
      <c r="B768" s="4" t="s">
        <v>28</v>
      </c>
    </row>
    <row r="769" spans="1:2" x14ac:dyDescent="0.4">
      <c r="A769" s="4"/>
      <c r="B769" s="4" t="s">
        <v>28</v>
      </c>
    </row>
    <row r="770" spans="1:2" x14ac:dyDescent="0.4">
      <c r="A770" s="4"/>
      <c r="B770" s="4" t="s">
        <v>28</v>
      </c>
    </row>
    <row r="771" spans="1:2" x14ac:dyDescent="0.4">
      <c r="A771" s="4"/>
      <c r="B771" s="4" t="s">
        <v>28</v>
      </c>
    </row>
    <row r="772" spans="1:2" x14ac:dyDescent="0.4">
      <c r="A772" s="4"/>
      <c r="B772" s="4" t="s">
        <v>28</v>
      </c>
    </row>
    <row r="773" spans="1:2" x14ac:dyDescent="0.4">
      <c r="A773" s="4"/>
      <c r="B773" s="4" t="s">
        <v>28</v>
      </c>
    </row>
    <row r="774" spans="1:2" x14ac:dyDescent="0.4">
      <c r="A774" s="4"/>
      <c r="B774" s="4" t="s">
        <v>28</v>
      </c>
    </row>
    <row r="775" spans="1:2" x14ac:dyDescent="0.4">
      <c r="A775" s="4"/>
      <c r="B775" s="4" t="s">
        <v>28</v>
      </c>
    </row>
    <row r="776" spans="1:2" x14ac:dyDescent="0.4">
      <c r="A776" s="4"/>
      <c r="B776" s="4" t="s">
        <v>28</v>
      </c>
    </row>
    <row r="777" spans="1:2" x14ac:dyDescent="0.4">
      <c r="A777" s="4"/>
      <c r="B777" s="4" t="s">
        <v>28</v>
      </c>
    </row>
    <row r="778" spans="1:2" x14ac:dyDescent="0.4">
      <c r="A778" s="4"/>
      <c r="B778" s="4" t="s">
        <v>28</v>
      </c>
    </row>
    <row r="779" spans="1:2" x14ac:dyDescent="0.4">
      <c r="A779" s="4"/>
      <c r="B779" s="4" t="s">
        <v>28</v>
      </c>
    </row>
    <row r="780" spans="1:2" x14ac:dyDescent="0.4">
      <c r="A780" s="4"/>
      <c r="B780" s="4" t="s">
        <v>28</v>
      </c>
    </row>
    <row r="781" spans="1:2" x14ac:dyDescent="0.4">
      <c r="A781" s="4"/>
      <c r="B781" s="4" t="s">
        <v>28</v>
      </c>
    </row>
    <row r="782" spans="1:2" x14ac:dyDescent="0.4">
      <c r="A782" s="4"/>
      <c r="B782" s="4" t="s">
        <v>28</v>
      </c>
    </row>
    <row r="783" spans="1:2" x14ac:dyDescent="0.4">
      <c r="A783" s="4"/>
      <c r="B783" s="4" t="s">
        <v>28</v>
      </c>
    </row>
    <row r="784" spans="1:2" x14ac:dyDescent="0.4">
      <c r="A784" s="4"/>
      <c r="B784" s="4" t="s">
        <v>28</v>
      </c>
    </row>
    <row r="785" spans="1:2" x14ac:dyDescent="0.4">
      <c r="A785" s="4"/>
      <c r="B785" s="4" t="s">
        <v>28</v>
      </c>
    </row>
    <row r="786" spans="1:2" x14ac:dyDescent="0.4">
      <c r="A786" s="4"/>
      <c r="B786" s="4" t="s">
        <v>28</v>
      </c>
    </row>
    <row r="787" spans="1:2" x14ac:dyDescent="0.4">
      <c r="A787" s="4"/>
      <c r="B787" s="4" t="s">
        <v>28</v>
      </c>
    </row>
    <row r="788" spans="1:2" x14ac:dyDescent="0.4">
      <c r="A788" s="4"/>
      <c r="B788" s="4" t="s">
        <v>28</v>
      </c>
    </row>
    <row r="789" spans="1:2" x14ac:dyDescent="0.4">
      <c r="A789" s="4"/>
      <c r="B789" s="4" t="s">
        <v>28</v>
      </c>
    </row>
    <row r="790" spans="1:2" x14ac:dyDescent="0.4">
      <c r="A790" s="4"/>
      <c r="B790" s="4" t="s">
        <v>28</v>
      </c>
    </row>
    <row r="791" spans="1:2" x14ac:dyDescent="0.4">
      <c r="A791" s="4"/>
      <c r="B791" s="4" t="s">
        <v>28</v>
      </c>
    </row>
    <row r="792" spans="1:2" x14ac:dyDescent="0.4">
      <c r="A792" s="4"/>
      <c r="B792" s="4" t="s">
        <v>28</v>
      </c>
    </row>
    <row r="793" spans="1:2" x14ac:dyDescent="0.4">
      <c r="A793" s="4"/>
      <c r="B793" s="4" t="s">
        <v>28</v>
      </c>
    </row>
    <row r="794" spans="1:2" x14ac:dyDescent="0.4">
      <c r="A794" s="4"/>
      <c r="B794" s="4" t="s">
        <v>28</v>
      </c>
    </row>
    <row r="795" spans="1:2" x14ac:dyDescent="0.4">
      <c r="A795" s="4"/>
      <c r="B795" s="4" t="s">
        <v>28</v>
      </c>
    </row>
    <row r="796" spans="1:2" x14ac:dyDescent="0.4">
      <c r="A796" s="4"/>
      <c r="B796" s="4" t="s">
        <v>28</v>
      </c>
    </row>
    <row r="797" spans="1:2" x14ac:dyDescent="0.4">
      <c r="A797" s="4"/>
      <c r="B797" s="4" t="s">
        <v>28</v>
      </c>
    </row>
    <row r="798" spans="1:2" x14ac:dyDescent="0.4">
      <c r="A798" s="4"/>
      <c r="B798" s="4" t="s">
        <v>28</v>
      </c>
    </row>
    <row r="799" spans="1:2" x14ac:dyDescent="0.4">
      <c r="A799" s="4"/>
      <c r="B799" s="4" t="s">
        <v>28</v>
      </c>
    </row>
    <row r="800" spans="1:2" x14ac:dyDescent="0.4">
      <c r="A800" s="4"/>
      <c r="B800" s="4" t="s">
        <v>28</v>
      </c>
    </row>
    <row r="801" spans="1:2" x14ac:dyDescent="0.4">
      <c r="A801" s="4"/>
      <c r="B801" s="4" t="s">
        <v>28</v>
      </c>
    </row>
    <row r="802" spans="1:2" x14ac:dyDescent="0.4">
      <c r="A802" s="4"/>
      <c r="B802" s="4" t="s">
        <v>28</v>
      </c>
    </row>
    <row r="803" spans="1:2" x14ac:dyDescent="0.4">
      <c r="A803" s="4"/>
      <c r="B803" s="4" t="s">
        <v>28</v>
      </c>
    </row>
    <row r="804" spans="1:2" x14ac:dyDescent="0.4">
      <c r="A804" s="4"/>
      <c r="B804" s="4" t="s">
        <v>28</v>
      </c>
    </row>
    <row r="805" spans="1:2" x14ac:dyDescent="0.4">
      <c r="A805" s="4"/>
      <c r="B805" s="4" t="s">
        <v>28</v>
      </c>
    </row>
    <row r="806" spans="1:2" x14ac:dyDescent="0.4">
      <c r="A806" s="4"/>
      <c r="B806" s="4" t="s">
        <v>28</v>
      </c>
    </row>
    <row r="807" spans="1:2" x14ac:dyDescent="0.4">
      <c r="A807" s="4"/>
      <c r="B807" s="4" t="s">
        <v>28</v>
      </c>
    </row>
    <row r="808" spans="1:2" x14ac:dyDescent="0.4">
      <c r="A808" s="4"/>
      <c r="B808" s="4" t="s">
        <v>28</v>
      </c>
    </row>
    <row r="809" spans="1:2" x14ac:dyDescent="0.4">
      <c r="A809" s="4"/>
      <c r="B809" s="4" t="s">
        <v>28</v>
      </c>
    </row>
    <row r="810" spans="1:2" x14ac:dyDescent="0.4">
      <c r="A810" s="4"/>
      <c r="B810" s="4" t="s">
        <v>28</v>
      </c>
    </row>
    <row r="811" spans="1:2" x14ac:dyDescent="0.4">
      <c r="A811" s="4"/>
      <c r="B811" s="4" t="s">
        <v>28</v>
      </c>
    </row>
    <row r="812" spans="1:2" x14ac:dyDescent="0.4">
      <c r="A812" s="4"/>
      <c r="B812" s="4" t="s">
        <v>28</v>
      </c>
    </row>
    <row r="813" spans="1:2" x14ac:dyDescent="0.4">
      <c r="A813" s="4"/>
      <c r="B813" s="4" t="s">
        <v>28</v>
      </c>
    </row>
    <row r="814" spans="1:2" x14ac:dyDescent="0.4">
      <c r="A814" s="4"/>
      <c r="B814" s="4" t="s">
        <v>28</v>
      </c>
    </row>
    <row r="815" spans="1:2" x14ac:dyDescent="0.4">
      <c r="A815" s="4"/>
      <c r="B815" s="4" t="s">
        <v>28</v>
      </c>
    </row>
    <row r="816" spans="1:2" x14ac:dyDescent="0.4">
      <c r="A816" s="4"/>
      <c r="B816" s="4" t="s">
        <v>28</v>
      </c>
    </row>
    <row r="817" spans="1:2" x14ac:dyDescent="0.4">
      <c r="A817" s="4"/>
      <c r="B817" s="4" t="s">
        <v>28</v>
      </c>
    </row>
    <row r="818" spans="1:2" x14ac:dyDescent="0.4">
      <c r="A818" s="4"/>
      <c r="B818" s="4" t="s">
        <v>28</v>
      </c>
    </row>
    <row r="819" spans="1:2" x14ac:dyDescent="0.4">
      <c r="A819" s="4"/>
      <c r="B819" s="4" t="s">
        <v>28</v>
      </c>
    </row>
    <row r="820" spans="1:2" x14ac:dyDescent="0.4">
      <c r="A820" s="4"/>
      <c r="B820" s="4" t="s">
        <v>28</v>
      </c>
    </row>
    <row r="821" spans="1:2" x14ac:dyDescent="0.4">
      <c r="A821" s="4"/>
      <c r="B821" s="4" t="s">
        <v>28</v>
      </c>
    </row>
    <row r="822" spans="1:2" x14ac:dyDescent="0.4">
      <c r="A822" s="4"/>
      <c r="B822" s="4" t="s">
        <v>28</v>
      </c>
    </row>
    <row r="823" spans="1:2" x14ac:dyDescent="0.4">
      <c r="A823" s="4"/>
      <c r="B823" s="4" t="s">
        <v>28</v>
      </c>
    </row>
    <row r="824" spans="1:2" x14ac:dyDescent="0.4">
      <c r="A824" s="4"/>
      <c r="B824" s="4" t="s">
        <v>28</v>
      </c>
    </row>
    <row r="825" spans="1:2" x14ac:dyDescent="0.4">
      <c r="A825" s="4"/>
      <c r="B825" s="4" t="s">
        <v>28</v>
      </c>
    </row>
    <row r="826" spans="1:2" x14ac:dyDescent="0.4">
      <c r="A826" s="4"/>
      <c r="B826" s="4" t="s">
        <v>28</v>
      </c>
    </row>
    <row r="827" spans="1:2" x14ac:dyDescent="0.4">
      <c r="A827" s="4"/>
      <c r="B827" s="4" t="s">
        <v>28</v>
      </c>
    </row>
    <row r="828" spans="1:2" x14ac:dyDescent="0.4">
      <c r="A828" s="4"/>
      <c r="B828" s="4" t="s">
        <v>28</v>
      </c>
    </row>
    <row r="829" spans="1:2" x14ac:dyDescent="0.4">
      <c r="A829" s="4"/>
      <c r="B829" s="4" t="s">
        <v>28</v>
      </c>
    </row>
    <row r="830" spans="1:2" x14ac:dyDescent="0.4">
      <c r="A830" s="4"/>
      <c r="B830" s="4" t="s">
        <v>28</v>
      </c>
    </row>
    <row r="831" spans="1:2" x14ac:dyDescent="0.4">
      <c r="A831" s="4"/>
      <c r="B831" s="4" t="s">
        <v>28</v>
      </c>
    </row>
    <row r="832" spans="1:2" x14ac:dyDescent="0.4">
      <c r="A832" s="4"/>
      <c r="B832" s="4" t="s">
        <v>28</v>
      </c>
    </row>
    <row r="833" spans="1:2" x14ac:dyDescent="0.4">
      <c r="A833" s="4"/>
      <c r="B833" s="4" t="s">
        <v>28</v>
      </c>
    </row>
    <row r="834" spans="1:2" x14ac:dyDescent="0.4">
      <c r="A834" s="4"/>
      <c r="B834" s="4" t="s">
        <v>28</v>
      </c>
    </row>
    <row r="835" spans="1:2" x14ac:dyDescent="0.4">
      <c r="A835" s="4"/>
      <c r="B835" s="4" t="s">
        <v>28</v>
      </c>
    </row>
    <row r="836" spans="1:2" x14ac:dyDescent="0.4">
      <c r="A836" s="4"/>
      <c r="B836" s="4" t="s">
        <v>28</v>
      </c>
    </row>
    <row r="837" spans="1:2" x14ac:dyDescent="0.4">
      <c r="A837" s="4"/>
      <c r="B837" s="4" t="s">
        <v>28</v>
      </c>
    </row>
    <row r="838" spans="1:2" x14ac:dyDescent="0.4">
      <c r="A838" s="4"/>
      <c r="B838" s="4" t="s">
        <v>28</v>
      </c>
    </row>
    <row r="839" spans="1:2" x14ac:dyDescent="0.4">
      <c r="A839" s="4"/>
      <c r="B839" s="4" t="s">
        <v>28</v>
      </c>
    </row>
    <row r="840" spans="1:2" x14ac:dyDescent="0.4">
      <c r="A840" s="4"/>
      <c r="B840" s="4" t="s">
        <v>28</v>
      </c>
    </row>
    <row r="841" spans="1:2" x14ac:dyDescent="0.4">
      <c r="A841" s="4"/>
      <c r="B841" s="4" t="s">
        <v>28</v>
      </c>
    </row>
    <row r="842" spans="1:2" x14ac:dyDescent="0.4">
      <c r="A842" s="4"/>
      <c r="B842" s="4" t="s">
        <v>28</v>
      </c>
    </row>
    <row r="843" spans="1:2" x14ac:dyDescent="0.4">
      <c r="A843" s="4"/>
      <c r="B843" s="4" t="s">
        <v>28</v>
      </c>
    </row>
    <row r="844" spans="1:2" x14ac:dyDescent="0.4">
      <c r="A844" s="4"/>
      <c r="B844" s="4" t="s">
        <v>28</v>
      </c>
    </row>
    <row r="845" spans="1:2" x14ac:dyDescent="0.4">
      <c r="A845" s="4"/>
      <c r="B845" s="4" t="s">
        <v>28</v>
      </c>
    </row>
    <row r="846" spans="1:2" x14ac:dyDescent="0.4">
      <c r="A846" s="4"/>
      <c r="B846" s="4" t="s">
        <v>28</v>
      </c>
    </row>
    <row r="847" spans="1:2" x14ac:dyDescent="0.4">
      <c r="A847" s="4"/>
      <c r="B847" s="4" t="s">
        <v>28</v>
      </c>
    </row>
    <row r="848" spans="1:2" x14ac:dyDescent="0.4">
      <c r="A848" s="4"/>
      <c r="B848" s="4" t="s">
        <v>28</v>
      </c>
    </row>
    <row r="849" spans="1:2" x14ac:dyDescent="0.4">
      <c r="A849" s="4"/>
      <c r="B849" s="4" t="s">
        <v>28</v>
      </c>
    </row>
    <row r="850" spans="1:2" x14ac:dyDescent="0.4">
      <c r="A850" s="4"/>
      <c r="B850" s="4" t="s">
        <v>28</v>
      </c>
    </row>
    <row r="851" spans="1:2" x14ac:dyDescent="0.4">
      <c r="A851" s="4"/>
      <c r="B851" s="4" t="s">
        <v>28</v>
      </c>
    </row>
    <row r="852" spans="1:2" x14ac:dyDescent="0.4">
      <c r="A852" s="4"/>
      <c r="B852" s="4" t="s">
        <v>28</v>
      </c>
    </row>
    <row r="853" spans="1:2" x14ac:dyDescent="0.4">
      <c r="A853" s="4"/>
      <c r="B853" s="4" t="s">
        <v>28</v>
      </c>
    </row>
    <row r="854" spans="1:2" x14ac:dyDescent="0.4">
      <c r="A854" s="4"/>
      <c r="B854" s="4" t="s">
        <v>28</v>
      </c>
    </row>
    <row r="855" spans="1:2" x14ac:dyDescent="0.4">
      <c r="A855" s="4"/>
      <c r="B855" s="4" t="s">
        <v>28</v>
      </c>
    </row>
    <row r="856" spans="1:2" x14ac:dyDescent="0.4">
      <c r="A856" s="4"/>
      <c r="B856" s="4" t="s">
        <v>28</v>
      </c>
    </row>
    <row r="857" spans="1:2" x14ac:dyDescent="0.4">
      <c r="A857" s="4"/>
      <c r="B857" s="4" t="s">
        <v>28</v>
      </c>
    </row>
    <row r="858" spans="1:2" x14ac:dyDescent="0.4">
      <c r="A858" s="4"/>
      <c r="B858" s="4" t="s">
        <v>28</v>
      </c>
    </row>
    <row r="859" spans="1:2" x14ac:dyDescent="0.4">
      <c r="A859" s="4"/>
      <c r="B859" s="4" t="s">
        <v>28</v>
      </c>
    </row>
    <row r="860" spans="1:2" x14ac:dyDescent="0.4">
      <c r="A860" s="4"/>
      <c r="B860" s="4" t="s">
        <v>28</v>
      </c>
    </row>
    <row r="861" spans="1:2" x14ac:dyDescent="0.4">
      <c r="A861" s="4"/>
      <c r="B861" s="4" t="s">
        <v>28</v>
      </c>
    </row>
    <row r="862" spans="1:2" x14ac:dyDescent="0.4">
      <c r="A862" s="4"/>
      <c r="B862" s="4" t="s">
        <v>28</v>
      </c>
    </row>
    <row r="863" spans="1:2" x14ac:dyDescent="0.4">
      <c r="A863" s="4"/>
      <c r="B863" s="4" t="s">
        <v>28</v>
      </c>
    </row>
    <row r="864" spans="1:2" x14ac:dyDescent="0.4">
      <c r="A864" s="4"/>
      <c r="B864" s="4" t="s">
        <v>28</v>
      </c>
    </row>
    <row r="865" spans="1:2" x14ac:dyDescent="0.4">
      <c r="A865" s="4"/>
      <c r="B865" s="4" t="s">
        <v>28</v>
      </c>
    </row>
    <row r="866" spans="1:2" x14ac:dyDescent="0.4">
      <c r="A866" s="4"/>
      <c r="B866" s="4" t="s">
        <v>28</v>
      </c>
    </row>
    <row r="867" spans="1:2" x14ac:dyDescent="0.4">
      <c r="A867" s="4"/>
      <c r="B867" s="4" t="s">
        <v>28</v>
      </c>
    </row>
    <row r="868" spans="1:2" x14ac:dyDescent="0.4">
      <c r="A868" s="4"/>
      <c r="B868" s="4" t="s">
        <v>28</v>
      </c>
    </row>
    <row r="869" spans="1:2" x14ac:dyDescent="0.4">
      <c r="A869" s="4"/>
      <c r="B869" s="4" t="s">
        <v>28</v>
      </c>
    </row>
    <row r="870" spans="1:2" x14ac:dyDescent="0.4">
      <c r="A870" s="4"/>
      <c r="B870" s="4" t="s">
        <v>28</v>
      </c>
    </row>
    <row r="871" spans="1:2" x14ac:dyDescent="0.4">
      <c r="A871" s="4"/>
      <c r="B871" s="4" t="s">
        <v>28</v>
      </c>
    </row>
    <row r="872" spans="1:2" x14ac:dyDescent="0.4">
      <c r="A872" s="4"/>
      <c r="B872" s="4" t="s">
        <v>28</v>
      </c>
    </row>
    <row r="873" spans="1:2" x14ac:dyDescent="0.4">
      <c r="A873" s="4"/>
      <c r="B873" s="4" t="s">
        <v>28</v>
      </c>
    </row>
    <row r="874" spans="1:2" x14ac:dyDescent="0.4">
      <c r="A874" s="4"/>
      <c r="B874" s="4" t="s">
        <v>28</v>
      </c>
    </row>
    <row r="875" spans="1:2" x14ac:dyDescent="0.4">
      <c r="A875" s="4"/>
      <c r="B875" s="4" t="s">
        <v>28</v>
      </c>
    </row>
    <row r="876" spans="1:2" x14ac:dyDescent="0.4">
      <c r="A876" s="4"/>
      <c r="B876" s="4" t="s">
        <v>28</v>
      </c>
    </row>
    <row r="877" spans="1:2" x14ac:dyDescent="0.4">
      <c r="A877" s="4"/>
      <c r="B877" s="4" t="s">
        <v>28</v>
      </c>
    </row>
    <row r="878" spans="1:2" x14ac:dyDescent="0.4">
      <c r="A878" s="4"/>
      <c r="B878" s="4" t="s">
        <v>28</v>
      </c>
    </row>
    <row r="879" spans="1:2" x14ac:dyDescent="0.4">
      <c r="A879" s="4"/>
      <c r="B879" s="4" t="s">
        <v>28</v>
      </c>
    </row>
    <row r="880" spans="1:2" x14ac:dyDescent="0.4">
      <c r="A880" s="4"/>
      <c r="B880" s="4" t="s">
        <v>28</v>
      </c>
    </row>
    <row r="881" spans="1:2" x14ac:dyDescent="0.4">
      <c r="A881" s="4"/>
      <c r="B881" s="4" t="s">
        <v>28</v>
      </c>
    </row>
    <row r="882" spans="1:2" x14ac:dyDescent="0.4">
      <c r="A882" s="4"/>
      <c r="B882" s="4" t="s">
        <v>28</v>
      </c>
    </row>
    <row r="883" spans="1:2" x14ac:dyDescent="0.4">
      <c r="A883" s="4"/>
      <c r="B883" s="4" t="s">
        <v>28</v>
      </c>
    </row>
    <row r="884" spans="1:2" x14ac:dyDescent="0.4">
      <c r="A884" s="4"/>
      <c r="B884" s="4" t="s">
        <v>28</v>
      </c>
    </row>
    <row r="885" spans="1:2" x14ac:dyDescent="0.4">
      <c r="A885" s="4"/>
      <c r="B885" s="4" t="s">
        <v>28</v>
      </c>
    </row>
    <row r="886" spans="1:2" x14ac:dyDescent="0.4">
      <c r="A886" s="4"/>
      <c r="B886" s="4" t="s">
        <v>28</v>
      </c>
    </row>
    <row r="887" spans="1:2" x14ac:dyDescent="0.4">
      <c r="A887" s="4"/>
      <c r="B887" s="4" t="s">
        <v>28</v>
      </c>
    </row>
    <row r="888" spans="1:2" x14ac:dyDescent="0.4">
      <c r="A888" s="4"/>
      <c r="B888" s="4" t="s">
        <v>28</v>
      </c>
    </row>
    <row r="889" spans="1:2" x14ac:dyDescent="0.4">
      <c r="A889" s="4"/>
      <c r="B889" s="4" t="s">
        <v>28</v>
      </c>
    </row>
    <row r="890" spans="1:2" x14ac:dyDescent="0.4">
      <c r="A890" s="4"/>
      <c r="B890" s="4" t="s">
        <v>28</v>
      </c>
    </row>
    <row r="891" spans="1:2" x14ac:dyDescent="0.4">
      <c r="A891" s="4"/>
      <c r="B891" s="4" t="s">
        <v>28</v>
      </c>
    </row>
    <row r="892" spans="1:2" x14ac:dyDescent="0.4">
      <c r="A892" s="4"/>
      <c r="B892" s="4" t="s">
        <v>28</v>
      </c>
    </row>
    <row r="893" spans="1:2" x14ac:dyDescent="0.4">
      <c r="A893" s="4"/>
      <c r="B893" s="4" t="s">
        <v>28</v>
      </c>
    </row>
    <row r="894" spans="1:2" x14ac:dyDescent="0.4">
      <c r="A894" s="4"/>
      <c r="B894" s="4" t="s">
        <v>28</v>
      </c>
    </row>
    <row r="895" spans="1:2" x14ac:dyDescent="0.4">
      <c r="A895" s="4"/>
      <c r="B895" s="4" t="s">
        <v>28</v>
      </c>
    </row>
    <row r="896" spans="1:2" x14ac:dyDescent="0.4">
      <c r="A896" s="4"/>
      <c r="B896" s="4" t="s">
        <v>28</v>
      </c>
    </row>
    <row r="897" spans="1:2" x14ac:dyDescent="0.4">
      <c r="A897" s="4"/>
      <c r="B897" s="4" t="s">
        <v>28</v>
      </c>
    </row>
    <row r="898" spans="1:2" x14ac:dyDescent="0.4">
      <c r="A898" s="4"/>
      <c r="B898" s="4" t="s">
        <v>28</v>
      </c>
    </row>
    <row r="899" spans="1:2" x14ac:dyDescent="0.4">
      <c r="A899" s="4"/>
      <c r="B899" s="4" t="s">
        <v>28</v>
      </c>
    </row>
    <row r="900" spans="1:2" x14ac:dyDescent="0.4">
      <c r="A900" s="4"/>
      <c r="B900" s="4" t="s">
        <v>28</v>
      </c>
    </row>
    <row r="901" spans="1:2" x14ac:dyDescent="0.4">
      <c r="A901" s="4"/>
      <c r="B901" s="4" t="s">
        <v>28</v>
      </c>
    </row>
    <row r="902" spans="1:2" x14ac:dyDescent="0.4">
      <c r="A902" s="4"/>
      <c r="B902" s="4" t="s">
        <v>28</v>
      </c>
    </row>
    <row r="903" spans="1:2" x14ac:dyDescent="0.4">
      <c r="A903" s="4"/>
      <c r="B903" s="4" t="s">
        <v>28</v>
      </c>
    </row>
    <row r="904" spans="1:2" x14ac:dyDescent="0.4">
      <c r="A904" s="4"/>
      <c r="B904" s="4" t="s">
        <v>28</v>
      </c>
    </row>
    <row r="905" spans="1:2" x14ac:dyDescent="0.4">
      <c r="A905" s="4"/>
      <c r="B905" s="4" t="s">
        <v>28</v>
      </c>
    </row>
    <row r="906" spans="1:2" x14ac:dyDescent="0.4">
      <c r="A906" s="4"/>
      <c r="B906" s="4" t="s">
        <v>28</v>
      </c>
    </row>
    <row r="907" spans="1:2" x14ac:dyDescent="0.4">
      <c r="A907" s="4"/>
      <c r="B907" s="4" t="s">
        <v>28</v>
      </c>
    </row>
    <row r="908" spans="1:2" x14ac:dyDescent="0.4">
      <c r="A908" s="4"/>
      <c r="B908" s="4" t="s">
        <v>28</v>
      </c>
    </row>
    <row r="909" spans="1:2" x14ac:dyDescent="0.4">
      <c r="A909" s="4"/>
      <c r="B909" s="4" t="s">
        <v>28</v>
      </c>
    </row>
    <row r="910" spans="1:2" x14ac:dyDescent="0.4">
      <c r="A910" s="4"/>
      <c r="B910" s="4" t="s">
        <v>28</v>
      </c>
    </row>
    <row r="911" spans="1:2" x14ac:dyDescent="0.4">
      <c r="A911" s="4"/>
      <c r="B911" s="4" t="s">
        <v>28</v>
      </c>
    </row>
    <row r="912" spans="1:2" x14ac:dyDescent="0.4">
      <c r="A912" s="4"/>
      <c r="B912" s="4" t="s">
        <v>28</v>
      </c>
    </row>
    <row r="913" spans="1:2" x14ac:dyDescent="0.4">
      <c r="A913" s="4"/>
      <c r="B913" s="4" t="s">
        <v>28</v>
      </c>
    </row>
    <row r="914" spans="1:2" x14ac:dyDescent="0.4">
      <c r="A914" s="4"/>
      <c r="B914" s="4" t="s">
        <v>28</v>
      </c>
    </row>
    <row r="915" spans="1:2" x14ac:dyDescent="0.4">
      <c r="A915" s="4"/>
      <c r="B915" s="4" t="s">
        <v>28</v>
      </c>
    </row>
    <row r="916" spans="1:2" x14ac:dyDescent="0.4">
      <c r="A916" s="4"/>
      <c r="B916" s="4" t="s">
        <v>28</v>
      </c>
    </row>
    <row r="917" spans="1:2" x14ac:dyDescent="0.4">
      <c r="A917" s="4"/>
      <c r="B917" s="4" t="s">
        <v>28</v>
      </c>
    </row>
    <row r="918" spans="1:2" x14ac:dyDescent="0.4">
      <c r="A918" s="4"/>
      <c r="B918" s="4" t="s">
        <v>28</v>
      </c>
    </row>
    <row r="919" spans="1:2" x14ac:dyDescent="0.4">
      <c r="A919" s="4"/>
      <c r="B919" s="4" t="s">
        <v>28</v>
      </c>
    </row>
    <row r="920" spans="1:2" x14ac:dyDescent="0.4">
      <c r="A920" s="4"/>
      <c r="B920" s="4" t="s">
        <v>28</v>
      </c>
    </row>
    <row r="921" spans="1:2" x14ac:dyDescent="0.4">
      <c r="A921" s="4"/>
      <c r="B921" s="4" t="s">
        <v>28</v>
      </c>
    </row>
    <row r="922" spans="1:2" x14ac:dyDescent="0.4">
      <c r="A922" s="4"/>
      <c r="B922" s="4" t="s">
        <v>28</v>
      </c>
    </row>
    <row r="923" spans="1:2" x14ac:dyDescent="0.4">
      <c r="A923" s="4"/>
      <c r="B923" s="4" t="s">
        <v>28</v>
      </c>
    </row>
    <row r="924" spans="1:2" x14ac:dyDescent="0.4">
      <c r="A924" s="4"/>
      <c r="B924" s="4" t="s">
        <v>28</v>
      </c>
    </row>
    <row r="925" spans="1:2" x14ac:dyDescent="0.4">
      <c r="A925" s="4"/>
      <c r="B925" s="4" t="s">
        <v>28</v>
      </c>
    </row>
    <row r="926" spans="1:2" x14ac:dyDescent="0.4">
      <c r="A926" s="4"/>
      <c r="B926" s="4" t="s">
        <v>28</v>
      </c>
    </row>
    <row r="927" spans="1:2" x14ac:dyDescent="0.4">
      <c r="A927" s="4"/>
      <c r="B927" s="4" t="s">
        <v>28</v>
      </c>
    </row>
    <row r="928" spans="1:2" x14ac:dyDescent="0.4">
      <c r="A928" s="4"/>
      <c r="B928" s="4" t="s">
        <v>28</v>
      </c>
    </row>
    <row r="929" spans="1:2" x14ac:dyDescent="0.4">
      <c r="A929" s="4"/>
      <c r="B929" s="4" t="s">
        <v>28</v>
      </c>
    </row>
    <row r="930" spans="1:2" x14ac:dyDescent="0.4">
      <c r="A930" s="4"/>
      <c r="B930" s="4" t="s">
        <v>28</v>
      </c>
    </row>
    <row r="931" spans="1:2" x14ac:dyDescent="0.4">
      <c r="A931" s="4"/>
      <c r="B931" s="4" t="s">
        <v>28</v>
      </c>
    </row>
    <row r="932" spans="1:2" x14ac:dyDescent="0.4">
      <c r="A932" s="4"/>
      <c r="B932" s="4" t="s">
        <v>28</v>
      </c>
    </row>
    <row r="933" spans="1:2" x14ac:dyDescent="0.4">
      <c r="A933" s="4"/>
      <c r="B933" s="4" t="s">
        <v>28</v>
      </c>
    </row>
    <row r="934" spans="1:2" x14ac:dyDescent="0.4">
      <c r="A934" s="4"/>
      <c r="B934" s="4" t="s">
        <v>28</v>
      </c>
    </row>
    <row r="935" spans="1:2" x14ac:dyDescent="0.4">
      <c r="A935" s="4"/>
      <c r="B935" s="4" t="s">
        <v>28</v>
      </c>
    </row>
    <row r="936" spans="1:2" x14ac:dyDescent="0.4">
      <c r="A936" s="4"/>
      <c r="B936" s="4" t="s">
        <v>28</v>
      </c>
    </row>
    <row r="937" spans="1:2" x14ac:dyDescent="0.4">
      <c r="A937" s="4"/>
      <c r="B937" s="4" t="s">
        <v>28</v>
      </c>
    </row>
    <row r="938" spans="1:2" x14ac:dyDescent="0.4">
      <c r="A938" s="4"/>
      <c r="B938" s="4" t="s">
        <v>28</v>
      </c>
    </row>
    <row r="939" spans="1:2" x14ac:dyDescent="0.4">
      <c r="A939" s="4"/>
      <c r="B939" s="4" t="s">
        <v>28</v>
      </c>
    </row>
    <row r="940" spans="1:2" x14ac:dyDescent="0.4">
      <c r="A940" s="4"/>
      <c r="B940" s="4" t="s">
        <v>28</v>
      </c>
    </row>
    <row r="941" spans="1:2" x14ac:dyDescent="0.4">
      <c r="A941" s="4"/>
      <c r="B941" s="4" t="s">
        <v>28</v>
      </c>
    </row>
    <row r="942" spans="1:2" x14ac:dyDescent="0.4">
      <c r="A942" s="4"/>
      <c r="B942" s="4" t="s">
        <v>28</v>
      </c>
    </row>
    <row r="943" spans="1:2" x14ac:dyDescent="0.4">
      <c r="A943" s="4"/>
      <c r="B943" s="4" t="s">
        <v>28</v>
      </c>
    </row>
    <row r="944" spans="1:2" x14ac:dyDescent="0.4">
      <c r="A944" s="4"/>
      <c r="B944" s="4" t="s">
        <v>28</v>
      </c>
    </row>
    <row r="945" spans="1:2" x14ac:dyDescent="0.4">
      <c r="A945" s="4"/>
      <c r="B945" s="4" t="s">
        <v>28</v>
      </c>
    </row>
    <row r="946" spans="1:2" x14ac:dyDescent="0.4">
      <c r="A946" s="4"/>
      <c r="B946" s="4" t="s">
        <v>28</v>
      </c>
    </row>
    <row r="947" spans="1:2" x14ac:dyDescent="0.4">
      <c r="A947" s="4"/>
      <c r="B947" s="4" t="s">
        <v>28</v>
      </c>
    </row>
    <row r="948" spans="1:2" x14ac:dyDescent="0.4">
      <c r="A948" s="4"/>
      <c r="B948" s="4" t="s">
        <v>28</v>
      </c>
    </row>
    <row r="949" spans="1:2" x14ac:dyDescent="0.4">
      <c r="A949" s="4"/>
      <c r="B949" s="4" t="s">
        <v>28</v>
      </c>
    </row>
    <row r="950" spans="1:2" x14ac:dyDescent="0.4">
      <c r="A950" s="4"/>
      <c r="B950" s="4" t="s">
        <v>28</v>
      </c>
    </row>
    <row r="951" spans="1:2" x14ac:dyDescent="0.4">
      <c r="A951" s="4"/>
      <c r="B951" s="4" t="s">
        <v>28</v>
      </c>
    </row>
    <row r="952" spans="1:2" x14ac:dyDescent="0.4">
      <c r="A952" s="4"/>
      <c r="B952" s="4" t="s">
        <v>28</v>
      </c>
    </row>
    <row r="953" spans="1:2" x14ac:dyDescent="0.4">
      <c r="A953" s="4"/>
      <c r="B953" s="4" t="s">
        <v>28</v>
      </c>
    </row>
    <row r="954" spans="1:2" x14ac:dyDescent="0.4">
      <c r="A954" s="4"/>
      <c r="B954" s="4" t="s">
        <v>28</v>
      </c>
    </row>
    <row r="955" spans="1:2" x14ac:dyDescent="0.4">
      <c r="A955" s="4"/>
      <c r="B955" s="4" t="s">
        <v>28</v>
      </c>
    </row>
    <row r="956" spans="1:2" x14ac:dyDescent="0.4">
      <c r="A956" s="4"/>
      <c r="B956" s="4" t="s">
        <v>28</v>
      </c>
    </row>
    <row r="957" spans="1:2" x14ac:dyDescent="0.4">
      <c r="A957" s="4"/>
      <c r="B957" s="4" t="s">
        <v>28</v>
      </c>
    </row>
    <row r="958" spans="1:2" x14ac:dyDescent="0.4">
      <c r="A958" s="4"/>
      <c r="B958" s="4" t="s">
        <v>28</v>
      </c>
    </row>
    <row r="959" spans="1:2" x14ac:dyDescent="0.4">
      <c r="A959" s="4"/>
      <c r="B959" s="4" t="s">
        <v>28</v>
      </c>
    </row>
    <row r="960" spans="1:2" x14ac:dyDescent="0.4">
      <c r="A960" s="4"/>
      <c r="B960" s="4" t="s">
        <v>28</v>
      </c>
    </row>
    <row r="961" spans="1:2" x14ac:dyDescent="0.4">
      <c r="A961" s="4"/>
      <c r="B961" s="4" t="s">
        <v>28</v>
      </c>
    </row>
    <row r="962" spans="1:2" x14ac:dyDescent="0.4">
      <c r="A962" s="4"/>
      <c r="B962" s="4" t="s">
        <v>28</v>
      </c>
    </row>
    <row r="963" spans="1:2" x14ac:dyDescent="0.4">
      <c r="A963" s="4"/>
      <c r="B963" s="4" t="s">
        <v>28</v>
      </c>
    </row>
    <row r="964" spans="1:2" x14ac:dyDescent="0.4">
      <c r="A964" s="4"/>
      <c r="B964" s="4" t="s">
        <v>28</v>
      </c>
    </row>
    <row r="965" spans="1:2" x14ac:dyDescent="0.4">
      <c r="A965" s="4"/>
      <c r="B965" s="4" t="s">
        <v>28</v>
      </c>
    </row>
    <row r="966" spans="1:2" x14ac:dyDescent="0.4">
      <c r="A966" s="4"/>
      <c r="B966" s="4" t="s">
        <v>28</v>
      </c>
    </row>
    <row r="967" spans="1:2" x14ac:dyDescent="0.4">
      <c r="A967" s="4"/>
      <c r="B967" s="4" t="s">
        <v>28</v>
      </c>
    </row>
    <row r="968" spans="1:2" x14ac:dyDescent="0.4">
      <c r="A968" s="4"/>
      <c r="B968" s="4" t="s">
        <v>28</v>
      </c>
    </row>
    <row r="969" spans="1:2" x14ac:dyDescent="0.4">
      <c r="A969" s="4"/>
      <c r="B969" s="4" t="s">
        <v>28</v>
      </c>
    </row>
    <row r="970" spans="1:2" x14ac:dyDescent="0.4">
      <c r="A970" s="4"/>
      <c r="B970" s="4" t="s">
        <v>28</v>
      </c>
    </row>
    <row r="971" spans="1:2" x14ac:dyDescent="0.4">
      <c r="A971" s="4"/>
      <c r="B971" s="4" t="s">
        <v>28</v>
      </c>
    </row>
    <row r="972" spans="1:2" x14ac:dyDescent="0.4">
      <c r="A972" s="4"/>
      <c r="B972" s="4" t="s">
        <v>28</v>
      </c>
    </row>
    <row r="973" spans="1:2" x14ac:dyDescent="0.4">
      <c r="A973" s="4"/>
      <c r="B973" s="4" t="s">
        <v>28</v>
      </c>
    </row>
    <row r="974" spans="1:2" x14ac:dyDescent="0.4">
      <c r="A974" s="4"/>
      <c r="B974" s="4" t="s">
        <v>28</v>
      </c>
    </row>
    <row r="975" spans="1:2" x14ac:dyDescent="0.4">
      <c r="A975" s="4"/>
      <c r="B975" s="4" t="s">
        <v>28</v>
      </c>
    </row>
    <row r="976" spans="1:2" x14ac:dyDescent="0.4">
      <c r="A976" s="4"/>
      <c r="B976" s="4" t="s">
        <v>28</v>
      </c>
    </row>
    <row r="977" spans="1:2" x14ac:dyDescent="0.4">
      <c r="A977" s="4"/>
      <c r="B977" s="4" t="s">
        <v>28</v>
      </c>
    </row>
    <row r="978" spans="1:2" x14ac:dyDescent="0.4">
      <c r="A978" s="4"/>
      <c r="B978" s="4" t="s">
        <v>28</v>
      </c>
    </row>
    <row r="979" spans="1:2" x14ac:dyDescent="0.4">
      <c r="A979" s="4"/>
      <c r="B979" s="4" t="s">
        <v>28</v>
      </c>
    </row>
    <row r="980" spans="1:2" x14ac:dyDescent="0.4">
      <c r="A980" s="4"/>
      <c r="B980" s="4" t="s">
        <v>28</v>
      </c>
    </row>
    <row r="981" spans="1:2" x14ac:dyDescent="0.4">
      <c r="A981" s="4"/>
      <c r="B981" s="4" t="s">
        <v>28</v>
      </c>
    </row>
    <row r="982" spans="1:2" x14ac:dyDescent="0.4">
      <c r="A982" s="4"/>
      <c r="B982" s="4" t="s">
        <v>28</v>
      </c>
    </row>
    <row r="983" spans="1:2" x14ac:dyDescent="0.4">
      <c r="A983" s="4"/>
      <c r="B983" s="4" t="s">
        <v>28</v>
      </c>
    </row>
    <row r="984" spans="1:2" x14ac:dyDescent="0.4">
      <c r="A984" s="4"/>
      <c r="B984" s="4" t="s">
        <v>28</v>
      </c>
    </row>
    <row r="985" spans="1:2" x14ac:dyDescent="0.4">
      <c r="A985" s="4"/>
      <c r="B985" s="4" t="s">
        <v>28</v>
      </c>
    </row>
    <row r="986" spans="1:2" x14ac:dyDescent="0.4">
      <c r="A986" s="4"/>
      <c r="B986" s="4" t="s">
        <v>28</v>
      </c>
    </row>
    <row r="987" spans="1:2" x14ac:dyDescent="0.4">
      <c r="A987" s="4"/>
      <c r="B987" s="4" t="s">
        <v>28</v>
      </c>
    </row>
    <row r="988" spans="1:2" x14ac:dyDescent="0.4">
      <c r="A988" s="4"/>
      <c r="B988" s="4" t="s">
        <v>28</v>
      </c>
    </row>
    <row r="989" spans="1:2" x14ac:dyDescent="0.4">
      <c r="A989" s="4"/>
      <c r="B989" s="4" t="s">
        <v>28</v>
      </c>
    </row>
    <row r="990" spans="1:2" x14ac:dyDescent="0.4">
      <c r="A990" s="4"/>
      <c r="B990" s="4" t="s">
        <v>28</v>
      </c>
    </row>
    <row r="991" spans="1:2" x14ac:dyDescent="0.4">
      <c r="A991" s="4"/>
      <c r="B991" s="4" t="s">
        <v>28</v>
      </c>
    </row>
    <row r="992" spans="1:2" x14ac:dyDescent="0.4">
      <c r="A992" s="4"/>
      <c r="B992" s="4" t="s">
        <v>28</v>
      </c>
    </row>
    <row r="993" spans="1:2" x14ac:dyDescent="0.4">
      <c r="A993" s="4"/>
      <c r="B993" s="4" t="s">
        <v>28</v>
      </c>
    </row>
    <row r="994" spans="1:2" x14ac:dyDescent="0.4">
      <c r="A994" s="4"/>
      <c r="B994" s="4" t="s">
        <v>28</v>
      </c>
    </row>
    <row r="995" spans="1:2" x14ac:dyDescent="0.4">
      <c r="A995" s="4"/>
      <c r="B995" s="4" t="s">
        <v>28</v>
      </c>
    </row>
    <row r="996" spans="1:2" x14ac:dyDescent="0.4">
      <c r="A996" s="4"/>
      <c r="B996" s="4" t="s">
        <v>28</v>
      </c>
    </row>
    <row r="997" spans="1:2" x14ac:dyDescent="0.4">
      <c r="A997" s="4"/>
      <c r="B997" s="4" t="s">
        <v>28</v>
      </c>
    </row>
    <row r="998" spans="1:2" x14ac:dyDescent="0.4">
      <c r="A998" s="4"/>
      <c r="B998" s="4" t="s">
        <v>28</v>
      </c>
    </row>
    <row r="999" spans="1:2" x14ac:dyDescent="0.4">
      <c r="A999" s="4"/>
      <c r="B999" s="4" t="s">
        <v>28</v>
      </c>
    </row>
    <row r="1000" spans="1:2" x14ac:dyDescent="0.4">
      <c r="A1000" s="4"/>
      <c r="B1000" s="4" t="s">
        <v>28</v>
      </c>
    </row>
    <row r="1001" spans="1:2" x14ac:dyDescent="0.4">
      <c r="A1001" s="4"/>
      <c r="B1001" s="4" t="s">
        <v>28</v>
      </c>
    </row>
    <row r="1002" spans="1:2" x14ac:dyDescent="0.4">
      <c r="A1002" s="4"/>
      <c r="B1002" s="4" t="s">
        <v>28</v>
      </c>
    </row>
    <row r="1003" spans="1:2" x14ac:dyDescent="0.4">
      <c r="A1003" s="4"/>
      <c r="B1003" s="4" t="s">
        <v>28</v>
      </c>
    </row>
    <row r="1004" spans="1:2" x14ac:dyDescent="0.4">
      <c r="A1004" s="4"/>
      <c r="B1004" s="4" t="s">
        <v>28</v>
      </c>
    </row>
    <row r="1005" spans="1:2" x14ac:dyDescent="0.4">
      <c r="A1005" s="4"/>
      <c r="B1005" s="4" t="s">
        <v>28</v>
      </c>
    </row>
    <row r="1006" spans="1:2" x14ac:dyDescent="0.4">
      <c r="A1006" s="4"/>
      <c r="B1006" s="4" t="s">
        <v>28</v>
      </c>
    </row>
    <row r="1007" spans="1:2" x14ac:dyDescent="0.4">
      <c r="A1007" s="4"/>
      <c r="B1007" s="4" t="s">
        <v>28</v>
      </c>
    </row>
    <row r="1008" spans="1:2" x14ac:dyDescent="0.4">
      <c r="A1008" s="4"/>
      <c r="B1008" s="4" t="s">
        <v>28</v>
      </c>
    </row>
    <row r="1009" spans="1:2" x14ac:dyDescent="0.4">
      <c r="A1009" s="4"/>
      <c r="B1009" s="4" t="s">
        <v>28</v>
      </c>
    </row>
    <row r="1010" spans="1:2" x14ac:dyDescent="0.4">
      <c r="A1010" s="4"/>
      <c r="B1010" s="4" t="s">
        <v>28</v>
      </c>
    </row>
    <row r="1011" spans="1:2" x14ac:dyDescent="0.4">
      <c r="A1011" s="4"/>
      <c r="B1011" s="4" t="s">
        <v>28</v>
      </c>
    </row>
    <row r="1012" spans="1:2" x14ac:dyDescent="0.4">
      <c r="A1012" s="4"/>
      <c r="B1012" s="4" t="s">
        <v>28</v>
      </c>
    </row>
    <row r="1013" spans="1:2" x14ac:dyDescent="0.4">
      <c r="A1013" s="4"/>
      <c r="B1013" s="4" t="s">
        <v>28</v>
      </c>
    </row>
    <row r="1014" spans="1:2" x14ac:dyDescent="0.4">
      <c r="A1014" s="4"/>
      <c r="B1014" s="4" t="s">
        <v>28</v>
      </c>
    </row>
    <row r="1015" spans="1:2" x14ac:dyDescent="0.4">
      <c r="A1015" s="4"/>
      <c r="B1015" s="4" t="s">
        <v>28</v>
      </c>
    </row>
    <row r="1016" spans="1:2" x14ac:dyDescent="0.4">
      <c r="A1016" s="4"/>
      <c r="B1016" s="4" t="s">
        <v>28</v>
      </c>
    </row>
    <row r="1017" spans="1:2" x14ac:dyDescent="0.4">
      <c r="A1017" s="4"/>
      <c r="B1017" s="4" t="s">
        <v>28</v>
      </c>
    </row>
    <row r="1018" spans="1:2" x14ac:dyDescent="0.4">
      <c r="A1018" s="4"/>
      <c r="B1018" s="4" t="s">
        <v>28</v>
      </c>
    </row>
    <row r="1019" spans="1:2" x14ac:dyDescent="0.4">
      <c r="A1019" s="4"/>
      <c r="B1019" s="4" t="s">
        <v>28</v>
      </c>
    </row>
    <row r="1020" spans="1:2" x14ac:dyDescent="0.4">
      <c r="A1020" s="4"/>
      <c r="B1020" s="4" t="s">
        <v>28</v>
      </c>
    </row>
    <row r="1021" spans="1:2" x14ac:dyDescent="0.4">
      <c r="A1021" s="4"/>
      <c r="B1021" s="4" t="s">
        <v>28</v>
      </c>
    </row>
    <row r="1022" spans="1:2" x14ac:dyDescent="0.4">
      <c r="A1022" s="4"/>
      <c r="B1022" s="4" t="s">
        <v>28</v>
      </c>
    </row>
    <row r="1023" spans="1:2" x14ac:dyDescent="0.4">
      <c r="A1023" s="4"/>
      <c r="B1023" s="4" t="s">
        <v>28</v>
      </c>
    </row>
    <row r="1024" spans="1:2" x14ac:dyDescent="0.4">
      <c r="A1024" s="4"/>
      <c r="B1024" s="4" t="s">
        <v>28</v>
      </c>
    </row>
    <row r="1025" spans="1:2" x14ac:dyDescent="0.4">
      <c r="A1025" s="4"/>
      <c r="B1025" s="4" t="s">
        <v>28</v>
      </c>
    </row>
    <row r="1026" spans="1:2" x14ac:dyDescent="0.4">
      <c r="A1026" s="4"/>
      <c r="B1026" s="4" t="s">
        <v>28</v>
      </c>
    </row>
    <row r="1027" spans="1:2" x14ac:dyDescent="0.4">
      <c r="A1027" s="4"/>
      <c r="B1027" s="4" t="s">
        <v>28</v>
      </c>
    </row>
    <row r="1028" spans="1:2" x14ac:dyDescent="0.4">
      <c r="A1028" s="4"/>
      <c r="B1028" s="4" t="s">
        <v>28</v>
      </c>
    </row>
    <row r="1029" spans="1:2" x14ac:dyDescent="0.4">
      <c r="A1029" s="4"/>
      <c r="B1029" s="4" t="s">
        <v>28</v>
      </c>
    </row>
    <row r="1030" spans="1:2" x14ac:dyDescent="0.4">
      <c r="A1030" s="4"/>
      <c r="B1030" s="4" t="s">
        <v>28</v>
      </c>
    </row>
    <row r="1031" spans="1:2" x14ac:dyDescent="0.4">
      <c r="A1031" s="4"/>
      <c r="B1031" s="4" t="s">
        <v>28</v>
      </c>
    </row>
    <row r="1032" spans="1:2" x14ac:dyDescent="0.4">
      <c r="A1032" s="4"/>
      <c r="B1032" s="4" t="s">
        <v>28</v>
      </c>
    </row>
    <row r="1033" spans="1:2" x14ac:dyDescent="0.4">
      <c r="A1033" s="4"/>
      <c r="B1033" s="4" t="s">
        <v>28</v>
      </c>
    </row>
    <row r="1034" spans="1:2" x14ac:dyDescent="0.4">
      <c r="A1034" s="4"/>
      <c r="B1034" s="4" t="s">
        <v>28</v>
      </c>
    </row>
    <row r="1035" spans="1:2" x14ac:dyDescent="0.4">
      <c r="A1035" s="4"/>
      <c r="B1035" s="4" t="s">
        <v>28</v>
      </c>
    </row>
    <row r="1036" spans="1:2" x14ac:dyDescent="0.4">
      <c r="A1036" s="4"/>
      <c r="B1036" s="4" t="s">
        <v>28</v>
      </c>
    </row>
    <row r="1037" spans="1:2" x14ac:dyDescent="0.4">
      <c r="A1037" s="4"/>
      <c r="B1037" s="4" t="s">
        <v>28</v>
      </c>
    </row>
    <row r="1038" spans="1:2" x14ac:dyDescent="0.4">
      <c r="A1038" s="4"/>
      <c r="B1038" s="4" t="s">
        <v>28</v>
      </c>
    </row>
    <row r="1039" spans="1:2" x14ac:dyDescent="0.4">
      <c r="A1039" s="4"/>
      <c r="B1039" s="4" t="s">
        <v>28</v>
      </c>
    </row>
    <row r="1040" spans="1:2" x14ac:dyDescent="0.4">
      <c r="A1040" s="4"/>
      <c r="B1040" s="4" t="s">
        <v>28</v>
      </c>
    </row>
    <row r="1041" spans="1:2" x14ac:dyDescent="0.4">
      <c r="A1041" s="4"/>
      <c r="B1041" s="4" t="s">
        <v>28</v>
      </c>
    </row>
    <row r="1042" spans="1:2" x14ac:dyDescent="0.4">
      <c r="A1042" s="4"/>
      <c r="B1042" s="4" t="s">
        <v>28</v>
      </c>
    </row>
    <row r="1043" spans="1:2" x14ac:dyDescent="0.4">
      <c r="A1043" s="4"/>
      <c r="B1043" s="4" t="s">
        <v>28</v>
      </c>
    </row>
    <row r="1044" spans="1:2" x14ac:dyDescent="0.4">
      <c r="A1044" s="4"/>
      <c r="B1044" s="4" t="s">
        <v>28</v>
      </c>
    </row>
    <row r="1045" spans="1:2" x14ac:dyDescent="0.4">
      <c r="A1045" s="4"/>
      <c r="B1045" s="4" t="s">
        <v>28</v>
      </c>
    </row>
    <row r="1046" spans="1:2" x14ac:dyDescent="0.4">
      <c r="A1046" s="4"/>
      <c r="B1046" s="4" t="s">
        <v>28</v>
      </c>
    </row>
    <row r="1047" spans="1:2" x14ac:dyDescent="0.4">
      <c r="A1047" s="4"/>
      <c r="B1047" s="4" t="s">
        <v>28</v>
      </c>
    </row>
    <row r="1048" spans="1:2" x14ac:dyDescent="0.4">
      <c r="A1048" s="4"/>
      <c r="B1048" s="4" t="s">
        <v>28</v>
      </c>
    </row>
    <row r="1049" spans="1:2" x14ac:dyDescent="0.4">
      <c r="A1049" s="4"/>
      <c r="B1049" s="4" t="s">
        <v>28</v>
      </c>
    </row>
    <row r="1050" spans="1:2" x14ac:dyDescent="0.4">
      <c r="A1050" s="4"/>
      <c r="B1050" s="4" t="s">
        <v>28</v>
      </c>
    </row>
    <row r="1051" spans="1:2" x14ac:dyDescent="0.4">
      <c r="A1051" s="4"/>
      <c r="B1051" s="4" t="s">
        <v>28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Sheet1</vt:lpstr>
      <vt:lpstr>箔押し</vt:lpstr>
      <vt:lpstr>UV</vt:lpstr>
      <vt:lpstr>B 2客</vt:lpstr>
      <vt:lpstr>B 1客</vt:lpstr>
      <vt:lpstr>つるみ</vt:lpstr>
      <vt:lpstr>avedaﾐﾆ</vt:lpstr>
      <vt:lpstr>aveda大</vt:lpstr>
      <vt:lpstr>B通常 横彫</vt:lpstr>
      <vt:lpstr>Bフチ取り 逆彫り</vt:lpstr>
      <vt:lpstr>B通常 逆彫り</vt:lpstr>
      <vt:lpstr>その他</vt:lpstr>
      <vt:lpstr>第二</vt:lpstr>
      <vt:lpstr>緊急</vt:lpstr>
      <vt:lpstr>合計</vt:lpstr>
      <vt:lpstr>振り分け設定</vt:lpstr>
      <vt:lpstr>文字列リスト(削除禁止)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owner</cp:lastModifiedBy>
  <dcterms:created xsi:type="dcterms:W3CDTF">2021-12-06T10:01:24Z</dcterms:created>
  <dcterms:modified xsi:type="dcterms:W3CDTF">2022-03-08T03:30:49Z</dcterms:modified>
</cp:coreProperties>
</file>